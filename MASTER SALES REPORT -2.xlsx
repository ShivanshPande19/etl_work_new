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PHA 1" sheetId="1" r:id="rId5"/>
    <sheet state="visible" name="CENTRAL 50" sheetId="2" r:id="rId6"/>
    <sheet state="visible" name="BENNETT " sheetId="3" r:id="rId7"/>
    <sheet state="visible" name="DISTRICT 9" sheetId="4" r:id="rId8"/>
  </sheets>
  <definedNames/>
  <calcPr/>
</workbook>
</file>

<file path=xl/sharedStrings.xml><?xml version="1.0" encoding="utf-8"?>
<sst xmlns="http://schemas.openxmlformats.org/spreadsheetml/2006/main" count="1362" uniqueCount="254">
  <si>
    <t xml:space="preserve"> </t>
  </si>
  <si>
    <t>DATE</t>
  </si>
  <si>
    <t>DAY</t>
  </si>
  <si>
    <t>COFFEE VAULT</t>
  </si>
  <si>
    <t>ZORKO</t>
  </si>
  <si>
    <t>CHATPATA AFFAIR</t>
  </si>
  <si>
    <t>FRODO</t>
  </si>
  <si>
    <t>OG PIZZA</t>
  </si>
  <si>
    <t>IDLI POPS</t>
  </si>
  <si>
    <t>MOMO BOX</t>
  </si>
  <si>
    <t xml:space="preserve">MOMO BOX </t>
  </si>
  <si>
    <t>THE COFFEE VAULT</t>
  </si>
  <si>
    <t>UMAMI-D-KITCHEN</t>
  </si>
  <si>
    <t>B2B</t>
  </si>
  <si>
    <t>SAUSAGE SALON</t>
  </si>
  <si>
    <t xml:space="preserve">TOTAL SALES </t>
  </si>
  <si>
    <t>EGGSPERT</t>
  </si>
  <si>
    <t>KOBYS</t>
  </si>
  <si>
    <t>BBF</t>
  </si>
  <si>
    <t>BURRITO BROS</t>
  </si>
  <si>
    <t xml:space="preserve">TASTIGO </t>
  </si>
  <si>
    <t>THE CHATPATA AFFAIR</t>
  </si>
  <si>
    <t>SOUL CRUMB</t>
  </si>
  <si>
    <t>ARROY</t>
  </si>
  <si>
    <t>NOVEMBER</t>
  </si>
  <si>
    <t>TOTAL ZONE SALES</t>
  </si>
  <si>
    <t>TONGUE TWISTER</t>
  </si>
  <si>
    <t>MAY</t>
  </si>
  <si>
    <t>OVENLY GUSTO</t>
  </si>
  <si>
    <t>SATURDAY</t>
  </si>
  <si>
    <t>FRIDAY</t>
  </si>
  <si>
    <t>SUNDAY</t>
  </si>
  <si>
    <t>MONDAY</t>
  </si>
  <si>
    <t>MONTH</t>
  </si>
  <si>
    <t>TUESDAY</t>
  </si>
  <si>
    <t>WEDNESDAY</t>
  </si>
  <si>
    <t>THURSDAY</t>
  </si>
  <si>
    <t>JULY</t>
  </si>
  <si>
    <t>13/11/25</t>
  </si>
  <si>
    <t>14/11/25</t>
  </si>
  <si>
    <t>15/11/25</t>
  </si>
  <si>
    <t>16/11/25</t>
  </si>
  <si>
    <t>17/11/25</t>
  </si>
  <si>
    <t>18/11/25</t>
  </si>
  <si>
    <t>19/11/25</t>
  </si>
  <si>
    <t>13/05/26</t>
  </si>
  <si>
    <t>20/11/25</t>
  </si>
  <si>
    <t>14/05/26</t>
  </si>
  <si>
    <t>21/11/25</t>
  </si>
  <si>
    <t>15/05/26</t>
  </si>
  <si>
    <t>22/11/25</t>
  </si>
  <si>
    <t>16/05/26</t>
  </si>
  <si>
    <t>23/11/25</t>
  </si>
  <si>
    <t>24/11/25</t>
  </si>
  <si>
    <t>17/05/26</t>
  </si>
  <si>
    <t>25/11/25</t>
  </si>
  <si>
    <t>26/11/25</t>
  </si>
  <si>
    <t>18/05/26</t>
  </si>
  <si>
    <t>27/11/25</t>
  </si>
  <si>
    <t>13/07/26</t>
  </si>
  <si>
    <t>28/11/25</t>
  </si>
  <si>
    <t>19/05/26</t>
  </si>
  <si>
    <t>29/11/25</t>
  </si>
  <si>
    <t>20/05/26</t>
  </si>
  <si>
    <t>14/07/26</t>
  </si>
  <si>
    <t>15/07/26</t>
  </si>
  <si>
    <t>16/07/26</t>
  </si>
  <si>
    <t>17/07/26</t>
  </si>
  <si>
    <t>18/07/26</t>
  </si>
  <si>
    <t>19/07/26</t>
  </si>
  <si>
    <t>20/07/26</t>
  </si>
  <si>
    <t>30/11/25</t>
  </si>
  <si>
    <t>21/07/26</t>
  </si>
  <si>
    <t>21/05/26</t>
  </si>
  <si>
    <t>22/07/26</t>
  </si>
  <si>
    <t>TOTAL SALES</t>
  </si>
  <si>
    <t>23/07/26</t>
  </si>
  <si>
    <t>22/05/26</t>
  </si>
  <si>
    <t>24/07/26</t>
  </si>
  <si>
    <t>23/05/26</t>
  </si>
  <si>
    <t>25/07/26</t>
  </si>
  <si>
    <t>26/07/26</t>
  </si>
  <si>
    <t>DECEMBER</t>
  </si>
  <si>
    <t>27/07/26</t>
  </si>
  <si>
    <t>24/05/26</t>
  </si>
  <si>
    <t>28/07/26</t>
  </si>
  <si>
    <t>25/05/26</t>
  </si>
  <si>
    <t>29/07/26</t>
  </si>
  <si>
    <t xml:space="preserve">        </t>
  </si>
  <si>
    <t>26/05/26</t>
  </si>
  <si>
    <t>30/07/26</t>
  </si>
  <si>
    <t>27/05/26</t>
  </si>
  <si>
    <t>31/07/26</t>
  </si>
  <si>
    <t>28/05/26</t>
  </si>
  <si>
    <t>29/05/26</t>
  </si>
  <si>
    <t>30/05/26</t>
  </si>
  <si>
    <t>31/05/26</t>
  </si>
  <si>
    <t>13/12/25</t>
  </si>
  <si>
    <t>14/12/25</t>
  </si>
  <si>
    <t>AUGUST</t>
  </si>
  <si>
    <t>15/12/25</t>
  </si>
  <si>
    <t>16/12/25</t>
  </si>
  <si>
    <t>17/12/25</t>
  </si>
  <si>
    <t>18/12/25</t>
  </si>
  <si>
    <t>19/12/25</t>
  </si>
  <si>
    <t>20/12/25</t>
  </si>
  <si>
    <t>21/12/25</t>
  </si>
  <si>
    <t>AUG</t>
  </si>
  <si>
    <t>22/12/25</t>
  </si>
  <si>
    <t>23/12/25</t>
  </si>
  <si>
    <t>24/12/25</t>
  </si>
  <si>
    <t>25/12/25</t>
  </si>
  <si>
    <t>26/12/25</t>
  </si>
  <si>
    <t>27/12/25</t>
  </si>
  <si>
    <t>28/12/25</t>
  </si>
  <si>
    <t>13/08/26</t>
  </si>
  <si>
    <t>14/08/26</t>
  </si>
  <si>
    <t>29/12/25</t>
  </si>
  <si>
    <t>15/08/26</t>
  </si>
  <si>
    <t>30/12/25</t>
  </si>
  <si>
    <t>16/08/26</t>
  </si>
  <si>
    <t>31/12/25</t>
  </si>
  <si>
    <t>17/08/26</t>
  </si>
  <si>
    <t>18/08/26</t>
  </si>
  <si>
    <t>19/08/26</t>
  </si>
  <si>
    <t>20/08/26</t>
  </si>
  <si>
    <t>JANUARY</t>
  </si>
  <si>
    <t>21/08/26</t>
  </si>
  <si>
    <t>13/01/26</t>
  </si>
  <si>
    <t>14/01/26</t>
  </si>
  <si>
    <t>15/01/26</t>
  </si>
  <si>
    <t>16/01/26</t>
  </si>
  <si>
    <t>17/01/26</t>
  </si>
  <si>
    <t>18/01/26</t>
  </si>
  <si>
    <t>19/01/26</t>
  </si>
  <si>
    <t>20/01/26</t>
  </si>
  <si>
    <t>21/01/26</t>
  </si>
  <si>
    <t>22/01/26</t>
  </si>
  <si>
    <t>23/01/26</t>
  </si>
  <si>
    <t>24/01/26</t>
  </si>
  <si>
    <t>25/01/26</t>
  </si>
  <si>
    <t>26/01/26</t>
  </si>
  <si>
    <t>27/01/26</t>
  </si>
  <si>
    <t>28/01/26</t>
  </si>
  <si>
    <t>29/01/26</t>
  </si>
  <si>
    <t>30/01/26</t>
  </si>
  <si>
    <t>31/01/26</t>
  </si>
  <si>
    <t>22/08/26</t>
  </si>
  <si>
    <t>23/08/26</t>
  </si>
  <si>
    <t>FEBRUARY</t>
  </si>
  <si>
    <t>24/08/26</t>
  </si>
  <si>
    <t>25/08/26</t>
  </si>
  <si>
    <t>26/08/26</t>
  </si>
  <si>
    <t>27/08/26</t>
  </si>
  <si>
    <t>28/08/26</t>
  </si>
  <si>
    <t>13/02/26</t>
  </si>
  <si>
    <t>29/08/26</t>
  </si>
  <si>
    <t>14/02/26</t>
  </si>
  <si>
    <t>30/08/26</t>
  </si>
  <si>
    <t>15/02/26</t>
  </si>
  <si>
    <t>16/02/26</t>
  </si>
  <si>
    <t>31/08/26</t>
  </si>
  <si>
    <t>17/02/26</t>
  </si>
  <si>
    <t>18/02/26</t>
  </si>
  <si>
    <t>19/02/26</t>
  </si>
  <si>
    <t>20/02/26</t>
  </si>
  <si>
    <t>21/02/26</t>
  </si>
  <si>
    <t>22/02/26</t>
  </si>
  <si>
    <t>23/02/26</t>
  </si>
  <si>
    <t>24/02/26</t>
  </si>
  <si>
    <t>25/02/26</t>
  </si>
  <si>
    <t>26/02/26</t>
  </si>
  <si>
    <t>27/02/26</t>
  </si>
  <si>
    <t>28/02/26</t>
  </si>
  <si>
    <t>SEPTEMBER</t>
  </si>
  <si>
    <t>MARCH</t>
  </si>
  <si>
    <t>13/09/26</t>
  </si>
  <si>
    <t>13/03/26</t>
  </si>
  <si>
    <t>14/09/26</t>
  </si>
  <si>
    <t>14/03/26</t>
  </si>
  <si>
    <t>15/09/26</t>
  </si>
  <si>
    <t>15/03/26</t>
  </si>
  <si>
    <t>16/09/26</t>
  </si>
  <si>
    <t>16/03/26</t>
  </si>
  <si>
    <t>17/09/26</t>
  </si>
  <si>
    <t>17/03/26</t>
  </si>
  <si>
    <t>18/09/26</t>
  </si>
  <si>
    <t>18/03/26</t>
  </si>
  <si>
    <t>19/09/26</t>
  </si>
  <si>
    <t>19/03/26</t>
  </si>
  <si>
    <t>20/09/26</t>
  </si>
  <si>
    <t>20/03/26</t>
  </si>
  <si>
    <t>21/09/26</t>
  </si>
  <si>
    <t>21/03/26</t>
  </si>
  <si>
    <t>22/09/26</t>
  </si>
  <si>
    <t>22/03/26</t>
  </si>
  <si>
    <t>23/09/26</t>
  </si>
  <si>
    <t>23/03/26</t>
  </si>
  <si>
    <t>24/09/26</t>
  </si>
  <si>
    <t>25/09/26</t>
  </si>
  <si>
    <t>24/03/26</t>
  </si>
  <si>
    <t>25/03/26</t>
  </si>
  <si>
    <t>26/09/26</t>
  </si>
  <si>
    <t>27/09/26</t>
  </si>
  <si>
    <t>26/03/26</t>
  </si>
  <si>
    <t>27/03/26</t>
  </si>
  <si>
    <t>28/03/26</t>
  </si>
  <si>
    <t>29/03/26</t>
  </si>
  <si>
    <t>30/03/26</t>
  </si>
  <si>
    <t>31/03/26</t>
  </si>
  <si>
    <t>APRIL</t>
  </si>
  <si>
    <t>13/04/26</t>
  </si>
  <si>
    <t>14/04/26</t>
  </si>
  <si>
    <t>15/04/26</t>
  </si>
  <si>
    <t>16/04/26</t>
  </si>
  <si>
    <t>17/04/26</t>
  </si>
  <si>
    <t>18/04/26</t>
  </si>
  <si>
    <t>19/04/26</t>
  </si>
  <si>
    <t>20/04/26</t>
  </si>
  <si>
    <t>21/04/26</t>
  </si>
  <si>
    <t>22/04/26</t>
  </si>
  <si>
    <t>23/04/26</t>
  </si>
  <si>
    <t>24/04/26</t>
  </si>
  <si>
    <t>25/04/26</t>
  </si>
  <si>
    <t>26/04/26</t>
  </si>
  <si>
    <t>27/04/26</t>
  </si>
  <si>
    <t>28/04/26</t>
  </si>
  <si>
    <t>29/04/26</t>
  </si>
  <si>
    <t>30/04/26</t>
  </si>
  <si>
    <t>8,97,694.00</t>
  </si>
  <si>
    <t>10,52,404.00</t>
  </si>
  <si>
    <t>3,15,713.00</t>
  </si>
  <si>
    <t>11,20,076.00</t>
  </si>
  <si>
    <t>9,12,061.00</t>
  </si>
  <si>
    <t>JUNE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</si>
  <si>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</si>
  <si>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</si>
  <si>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</si>
  <si>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</si>
  <si>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</si>
  <si>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</si>
  <si>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</si>
  <si>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</si>
  <si>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</si>
  <si>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</si>
  <si>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</si>
  <si>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</si>
  <si>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</si>
  <si>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</si>
  <si>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</si>
  <si>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</si>
  <si>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</si>
  <si>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</si>
  <si>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28/09/28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</si>
</sst>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17">
    <font>
      <sz val="10.0"/>
      <color rgb="FF000000"/>
      <name val="Arial"/>
      <scheme val="minor"/>
    </font>
    <font>
      <b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color rgb="FF000000"/>
      <name val="Arial"/>
    </font>
    <font>
      <sz val="11.0"/>
      <color rgb="FF000000"/>
      <name val="Calibri"/>
    </font>
    <font/>
    <font>
      <sz val="12.0"/>
      <color rgb="FF000000"/>
      <name val="Arial"/>
    </font>
    <font>
      <sz val="12.0"/>
      <color theme="1"/>
      <name val="Calibri"/>
    </font>
    <font>
      <sz val="11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sz val="12.0"/>
      <color rgb="FFC00000"/>
      <name val="Calibri"/>
    </font>
    <font>
      <sz val="12.0"/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E4BC"/>
        <bgColor rgb="FFD8E4BC"/>
      </patternFill>
    </fill>
    <fill>
      <patternFill patternType="solid">
        <fgColor rgb="FFFFD579"/>
        <bgColor rgb="FFFFD57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</border>
    <border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/>
    </xf>
    <xf borderId="4" fillId="3" fontId="1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 readingOrder="0" shrinkToFit="0" vertical="center" wrapText="0"/>
    </xf>
    <xf borderId="5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horizontal="right" readingOrder="0" shrinkToFit="0" vertical="bottom" wrapText="0"/>
    </xf>
    <xf borderId="7" fillId="0" fontId="8" numFmtId="0" xfId="0" applyBorder="1" applyFont="1"/>
    <xf borderId="1" fillId="0" fontId="4" numFmtId="0" xfId="0" applyAlignment="1" applyBorder="1" applyFont="1">
      <alignment horizontal="right" shrinkToFit="0" vertical="bottom" wrapText="0"/>
    </xf>
    <xf borderId="8" fillId="0" fontId="4" numFmtId="164" xfId="0" applyAlignment="1" applyBorder="1" applyFont="1" applyNumberForma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8" fillId="0" fontId="5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4" fontId="2" numFmtId="0" xfId="0" applyBorder="1" applyFill="1" applyFont="1"/>
    <xf borderId="9" fillId="0" fontId="4" numFmtId="0" xfId="0" applyAlignment="1" applyBorder="1" applyFont="1">
      <alignment horizontal="right" readingOrder="0" shrinkToFit="0" vertical="bottom" wrapText="0"/>
    </xf>
    <xf borderId="10" fillId="0" fontId="4" numFmtId="0" xfId="0" applyAlignment="1" applyBorder="1" applyFont="1">
      <alignment horizontal="right" shrinkToFit="0" vertical="bottom" wrapText="0"/>
    </xf>
    <xf borderId="8" fillId="0" fontId="5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8" fillId="0" fontId="4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6" numFmtId="1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horizontal="right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1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1" fillId="0" fontId="8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horizontal="center" readingOrder="0" shrinkToFit="0" vertical="center" wrapText="0"/>
    </xf>
    <xf borderId="13" fillId="0" fontId="8" numFmtId="0" xfId="0" applyBorder="1" applyFont="1"/>
    <xf borderId="14" fillId="0" fontId="5" numFmtId="0" xfId="0" applyAlignment="1" applyBorder="1" applyFont="1">
      <alignment horizontal="right" readingOrder="0" shrinkToFit="0" vertical="bottom" wrapText="0"/>
    </xf>
    <xf borderId="1" fillId="4" fontId="2" numFmtId="1" xfId="0" applyBorder="1" applyFill="1" applyFont="1" applyNumberFormat="1"/>
    <xf borderId="14" fillId="0" fontId="5" numFmtId="0" xfId="0" applyAlignment="1" applyBorder="1" applyFont="1">
      <alignment horizontal="right" shrinkToFit="0" vertical="bottom" wrapText="0"/>
    </xf>
    <xf borderId="15" fillId="0" fontId="5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horizontal="right" readingOrder="0" shrinkToFit="0" vertical="bottom" wrapText="0"/>
    </xf>
    <xf borderId="7" fillId="0" fontId="3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readingOrder="0"/>
    </xf>
    <xf borderId="10" fillId="0" fontId="4" numFmtId="0" xfId="0" applyAlignment="1" applyBorder="1" applyFont="1">
      <alignment horizontal="right" readingOrder="0" shrinkToFit="0" vertical="bottom" wrapText="0"/>
    </xf>
    <xf borderId="10" fillId="0" fontId="8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13" numFmtId="0" xfId="0" applyAlignment="1" applyBorder="1" applyFont="1">
      <alignment readingOrder="0" shrinkToFit="0" wrapText="0"/>
    </xf>
    <xf borderId="9" fillId="0" fontId="4" numFmtId="164" xfId="0" applyAlignment="1" applyBorder="1" applyFont="1" applyNumberFormat="1">
      <alignment horizontal="center" readingOrder="0" shrinkToFit="0" vertical="center" wrapText="0"/>
    </xf>
    <xf borderId="10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1" fillId="0" fontId="4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0"/>
    </xf>
    <xf borderId="16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right" readingOrder="0" shrinkToFit="0" vertical="bottom" wrapText="0"/>
    </xf>
    <xf borderId="16" fillId="5" fontId="5" numFmtId="0" xfId="0" applyAlignment="1" applyBorder="1" applyFill="1" applyFont="1">
      <alignment horizontal="center" shrinkToFit="0" vertical="center" wrapText="0"/>
    </xf>
    <xf borderId="11" fillId="5" fontId="5" numFmtId="0" xfId="0" applyAlignment="1" applyBorder="1" applyFill="1" applyFont="1">
      <alignment horizontal="center" shrinkToFit="0" vertical="center" wrapText="0"/>
    </xf>
    <xf borderId="17" fillId="0" fontId="14" numFmtId="0" xfId="0" applyAlignment="1" applyBorder="1" applyFont="1">
      <alignment horizontal="center" readingOrder="0" shrinkToFit="0" vertical="bottom" wrapText="0"/>
    </xf>
    <xf borderId="18" fillId="0" fontId="8" numFmtId="0" xfId="0" applyBorder="1" applyFont="1"/>
    <xf borderId="9" fillId="0" fontId="5" numFmtId="0" xfId="0" applyAlignment="1" applyBorder="1" applyFont="1">
      <alignment horizontal="center" readingOrder="0" shrinkToFit="0" vertical="bottom" wrapText="0"/>
    </xf>
    <xf borderId="8" fillId="0" fontId="8" numFmtId="0" xfId="0" applyBorder="1" applyFont="1"/>
    <xf borderId="14" fillId="5" fontId="5" numFmtId="0" xfId="0" applyAlignment="1" applyBorder="1" applyFill="1" applyFont="1">
      <alignment horizontal="right" readingOrder="0" shrinkToFit="0" vertical="bottom" wrapText="0"/>
    </xf>
    <xf borderId="14" fillId="5" fontId="5" numFmtId="0" xfId="0" applyAlignment="1" applyBorder="1" applyFill="1" applyFont="1">
      <alignment horizontal="right" shrinkToFit="0" vertical="bottom" wrapText="0"/>
    </xf>
    <xf borderId="9" fillId="0" fontId="4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horizontal="right" readingOrder="0" shrinkToFit="0" vertical="bottom" wrapText="0"/>
    </xf>
    <xf borderId="16" fillId="0" fontId="5" numFmtId="0" xfId="0" applyAlignment="1" applyBorder="1" applyFont="1">
      <alignment horizontal="center" readingOrder="0" shrinkToFit="0" vertical="bottom" wrapText="0"/>
    </xf>
    <xf borderId="14" fillId="0" fontId="8" numFmtId="0" xfId="0" applyBorder="1" applyFont="1"/>
    <xf borderId="17" fillId="0" fontId="4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5" fillId="0" fontId="8" numFmtId="0" xfId="0" applyBorder="1" applyFont="1"/>
    <xf borderId="15" fillId="0" fontId="7" numFmtId="0" xfId="0" applyAlignment="1" applyBorder="1" applyFont="1">
      <alignment horizontal="center" readingOrder="0" shrinkToFit="0" vertical="bottom" wrapText="0"/>
    </xf>
    <xf borderId="6" fillId="0" fontId="8" numFmtId="0" xfId="0" applyBorder="1" applyFont="1"/>
    <xf borderId="15" fillId="5" fontId="5" numFmtId="0" xfId="0" applyAlignment="1" applyBorder="1" applyFill="1" applyFont="1">
      <alignment horizontal="right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ill="1" applyFont="1">
      <alignment horizontal="right" readingOrder="0" shrinkToFit="0" vertical="bottom" wrapText="0"/>
    </xf>
    <xf borderId="9" fillId="0" fontId="8" numFmtId="0" xfId="0" applyBorder="1" applyFont="1"/>
    <xf borderId="10" fillId="0" fontId="7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horizontal="center" readingOrder="0" shrinkToFit="0" wrapText="0"/>
    </xf>
    <xf borderId="15" fillId="0" fontId="8" numFmtId="0" xfId="0" applyBorder="1" applyFont="1"/>
    <xf borderId="15" fillId="0" fontId="5" numFmtId="0" xfId="0" applyAlignment="1" applyBorder="1" applyFont="1">
      <alignment horizontal="right" readingOrder="0" shrinkToFit="0" wrapText="0"/>
    </xf>
    <xf borderId="15" fillId="0" fontId="4" numFmtId="0" xfId="0" applyAlignment="1" applyBorder="1" applyFont="1">
      <alignment horizontal="right" readingOrder="0" shrinkToFit="0" vertical="bottom" wrapText="0"/>
    </xf>
    <xf borderId="20" fillId="0" fontId="4" numFmtId="0" xfId="0" applyAlignment="1" applyBorder="1" applyFont="1">
      <alignment horizontal="center" readingOrder="0" shrinkToFit="0" vertical="bottom" wrapText="0"/>
    </xf>
    <xf borderId="1" fillId="0" fontId="4" numFmtId="1" xfId="0" applyAlignment="1" applyBorder="1" applyFont="1" applyNumberFormat="1">
      <alignment horizontal="right" readingOrder="0" shrinkToFit="0" vertical="bottom" wrapText="0"/>
    </xf>
    <xf borderId="10" fillId="0" fontId="4" numFmtId="0" xfId="0" applyAlignment="1" applyBorder="1" applyFont="1">
      <alignment shrinkToFit="0" vertical="bottom" wrapText="0"/>
    </xf>
    <xf borderId="1" fillId="0" fontId="4" numFmtId="1" xfId="0" applyAlignment="1" applyBorder="1" applyFont="1" applyNumberFormat="1">
      <alignment horizontal="center" readingOrder="0" shrinkToFit="0" vertical="bottom" wrapText="0"/>
    </xf>
    <xf borderId="10" fillId="0" fontId="6" numFmtId="0" xfId="0" applyAlignment="1" applyBorder="1" applyFont="1">
      <alignment horizontal="right" readingOrder="0" shrinkToFit="0" vertical="bottom" wrapText="0"/>
    </xf>
    <xf borderId="14" fillId="0" fontId="5" numFmtId="1" xfId="0" applyAlignment="1" applyBorder="1" applyFont="1" applyNumberFormat="1">
      <alignment horizontal="right" readingOrder="0" shrinkToFit="0" wrapText="0"/>
    </xf>
    <xf borderId="15" fillId="0" fontId="5" numFmtId="1" xfId="0" applyAlignment="1" applyBorder="1" applyFont="1" applyNumberFormat="1">
      <alignment horizontal="right" readingOrder="0" shrinkToFit="0" wrapText="0"/>
    </xf>
    <xf borderId="1" fillId="0" fontId="5" numFmtId="1" xfId="0" applyAlignment="1" applyBorder="1" applyFont="1" applyNumberFormat="1">
      <alignment horizontal="right" readingOrder="0" shrinkToFit="0" wrapText="0"/>
    </xf>
    <xf borderId="20" fillId="0" fontId="7" numFmtId="0" xfId="0" applyAlignment="1" applyBorder="1" applyFont="1">
      <alignment horizontal="right" readingOrder="0" shrinkToFit="0" vertical="bottom" wrapText="0"/>
    </xf>
    <xf borderId="8" fillId="0" fontId="11" numFmtId="0" xfId="0" applyAlignment="1" applyBorder="1" applyFont="1">
      <alignment horizontal="right" readingOrder="0" shrinkToFit="0" vertical="bottom" wrapText="0"/>
    </xf>
    <xf borderId="20" fillId="0" fontId="5" numFmtId="0" xfId="0" applyAlignment="1" applyBorder="1" applyFont="1">
      <alignment horizontal="center" readingOrder="0" shrinkToFit="0" wrapText="0"/>
    </xf>
    <xf borderId="19" fillId="0" fontId="7" numFmtId="0" xfId="0" applyAlignment="1" applyBorder="1" applyFont="1">
      <alignment horizontal="right" readingOrder="0"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20" fillId="0" fontId="5" numFmtId="0" xfId="0" applyAlignment="1" applyBorder="1" applyFont="1">
      <alignment horizontal="right" readingOrder="0" shrinkToFit="0" wrapText="0"/>
    </xf>
    <xf borderId="15" fillId="0" fontId="4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6" fillId="0" fontId="4" numFmtId="164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right" readingOrder="0" shrinkToFit="0" vertical="bottom" wrapText="0"/>
    </xf>
    <xf borderId="20" fillId="0" fontId="4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horizontal="right" readingOrder="0" shrinkToFit="0" vertical="bottom" wrapText="0"/>
    </xf>
    <xf borderId="1" fillId="4" fontId="15" numFmtId="0" xfId="0" applyBorder="1" applyFill="1" applyFont="1"/>
    <xf borderId="19" fillId="0" fontId="4" numFmtId="0" xfId="0" applyAlignment="1" applyBorder="1" applyFont="1">
      <alignment horizontal="right" readingOrder="0" shrinkToFit="0" vertical="bottom" wrapText="0"/>
    </xf>
    <xf borderId="10" fillId="0" fontId="9" numFmtId="0" xfId="0" applyAlignment="1" applyBorder="1" applyFont="1">
      <alignment horizontal="right" readingOrder="0" shrinkToFit="0" vertical="bottom" wrapText="0"/>
    </xf>
    <xf borderId="8" fillId="0" fontId="9" numFmtId="0" xfId="0" applyAlignment="1" applyBorder="1" applyFont="1">
      <alignment horizontal="right" readingOrder="0" shrinkToFit="0" vertical="bottom" wrapText="0"/>
    </xf>
    <xf borderId="8" fillId="0" fontId="16" numFmtId="0" xfId="0" applyAlignment="1" applyBorder="1" applyFont="1">
      <alignment horizontal="right" readingOrder="0" shrinkToFit="0" vertical="bottom" wrapText="0"/>
    </xf>
    <xf borderId="1" fillId="0" fontId="10" numFmtId="1" xfId="0" applyAlignment="1" applyBorder="1" applyFont="1" applyNumberFormat="1">
      <alignment horizontal="right" readingOrder="0"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center" vertical="center"/>
    </xf>
    <xf borderId="8" fillId="6" fontId="4" numFmtId="0" xfId="0" applyAlignment="1" applyBorder="1" applyFill="1" applyFont="1">
      <alignment horizontal="right" readingOrder="0" shrinkToFit="0" vertical="bottom" wrapText="0"/>
    </xf>
    <xf borderId="1" fillId="0" fontId="10" numFmtId="3" xfId="0" applyAlignment="1" applyBorder="1" applyFont="1" applyNumberFormat="1">
      <alignment horizontal="right" readingOrder="0" shrinkToFit="0" vertical="bottom" wrapText="0"/>
    </xf>
    <xf borderId="1" fillId="4" fontId="2" numFmtId="3" xfId="0" applyBorder="1" applyFill="1" applyFont="1" applyNumberForma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10" width="15.63"/>
  </cols>
  <sheetData>
    <row r="1" ht="33.0" customHeight="1">
      <c r="A1" s="2">
        <v>0.0</v>
      </c>
      <c r="B1" s="3" t="s">
        <v>1</v>
      </c>
      <c r="C1" s="5" t="s">
        <v>2</v>
      </c>
      <c r="D1" s="6" t="s">
        <v>20</v>
      </c>
      <c r="E1" s="6" t="s">
        <v>23</v>
      </c>
      <c r="F1" s="6" t="s">
        <v>26</v>
      </c>
      <c r="G1" s="6" t="s">
        <v>14</v>
      </c>
      <c r="H1" s="6" t="s">
        <v>28</v>
      </c>
      <c r="I1" s="6" t="s">
        <v>3</v>
      </c>
      <c r="J1" s="10" t="s">
        <v>25</v>
      </c>
    </row>
    <row r="2">
      <c r="A2" s="11" t="s">
        <v>24</v>
      </c>
      <c r="B2" s="12">
        <v>45668.0</v>
      </c>
      <c r="C2" s="14" t="s">
        <v>29</v>
      </c>
      <c r="D2" s="15"/>
      <c r="E2" s="15">
        <v>0.0</v>
      </c>
      <c r="F2" s="15">
        <v>0.0</v>
      </c>
      <c r="G2" s="15">
        <v>0.0</v>
      </c>
      <c r="H2" s="20">
        <v>0.0</v>
      </c>
      <c r="I2" s="21">
        <v>0.0</v>
      </c>
      <c r="J2" s="23"/>
    </row>
    <row r="3">
      <c r="A3" s="22"/>
      <c r="B3" s="24">
        <v>45699.0</v>
      </c>
      <c r="C3" s="25" t="s">
        <v>31</v>
      </c>
      <c r="D3" s="26"/>
      <c r="E3" s="26">
        <v>0.0</v>
      </c>
      <c r="F3" s="26">
        <v>0.0</v>
      </c>
      <c r="G3" s="26">
        <v>0.0</v>
      </c>
      <c r="H3" s="27">
        <v>0.0</v>
      </c>
      <c r="I3" s="30">
        <v>0.0</v>
      </c>
      <c r="J3" s="31"/>
    </row>
    <row r="4">
      <c r="A4" s="22"/>
      <c r="B4" s="24">
        <v>45727.0</v>
      </c>
      <c r="C4" s="25" t="s">
        <v>32</v>
      </c>
      <c r="D4" s="26"/>
      <c r="E4" s="26">
        <v>0.0</v>
      </c>
      <c r="F4" s="26">
        <v>0.0</v>
      </c>
      <c r="G4" s="26">
        <v>0.0</v>
      </c>
      <c r="H4" s="27">
        <v>0.0</v>
      </c>
      <c r="I4" s="30">
        <v>0.0</v>
      </c>
      <c r="J4" s="31"/>
    </row>
    <row r="5">
      <c r="A5" s="22"/>
      <c r="B5" s="24">
        <v>45758.0</v>
      </c>
      <c r="C5" s="25" t="s">
        <v>34</v>
      </c>
      <c r="D5" s="26"/>
      <c r="E5" s="26">
        <v>0.0</v>
      </c>
      <c r="F5" s="26">
        <v>0.0</v>
      </c>
      <c r="G5" s="26">
        <v>0.0</v>
      </c>
      <c r="H5" s="27">
        <v>0.0</v>
      </c>
      <c r="I5" s="30">
        <v>0.0</v>
      </c>
      <c r="J5" s="31"/>
    </row>
    <row r="6">
      <c r="A6" s="22"/>
      <c r="B6" s="24">
        <v>45788.0</v>
      </c>
      <c r="C6" s="25" t="s">
        <v>35</v>
      </c>
      <c r="D6" s="26"/>
      <c r="E6" s="26">
        <v>0.0</v>
      </c>
      <c r="F6" s="26">
        <v>0.0</v>
      </c>
      <c r="G6" s="26">
        <v>0.0</v>
      </c>
      <c r="H6" s="27">
        <v>0.0</v>
      </c>
      <c r="I6" s="30">
        <v>0.0</v>
      </c>
      <c r="J6" s="31"/>
    </row>
    <row r="7">
      <c r="A7" s="22"/>
      <c r="B7" s="24">
        <v>45819.0</v>
      </c>
      <c r="C7" s="25" t="s">
        <v>36</v>
      </c>
      <c r="D7" s="26"/>
      <c r="E7" s="26">
        <v>0.0</v>
      </c>
      <c r="F7" s="26">
        <v>0.0</v>
      </c>
      <c r="G7" s="26">
        <v>0.0</v>
      </c>
      <c r="H7" s="27">
        <v>0.0</v>
      </c>
      <c r="I7" s="30">
        <v>0.0</v>
      </c>
      <c r="J7" s="31"/>
    </row>
    <row r="8">
      <c r="A8" s="22"/>
      <c r="B8" s="24">
        <v>45849.0</v>
      </c>
      <c r="C8" s="25" t="s">
        <v>30</v>
      </c>
      <c r="D8" s="26"/>
      <c r="E8" s="26">
        <v>0.0</v>
      </c>
      <c r="F8" s="26">
        <v>0.0</v>
      </c>
      <c r="G8" s="26">
        <v>0.0</v>
      </c>
      <c r="H8" s="27">
        <v>0.0</v>
      </c>
      <c r="I8" s="30">
        <v>0.0</v>
      </c>
      <c r="J8" s="31"/>
    </row>
    <row r="9">
      <c r="A9" s="22"/>
      <c r="B9" s="24">
        <v>45880.0</v>
      </c>
      <c r="C9" s="25" t="s">
        <v>29</v>
      </c>
      <c r="D9" s="26"/>
      <c r="E9" s="26">
        <v>0.0</v>
      </c>
      <c r="F9" s="26">
        <v>0.0</v>
      </c>
      <c r="G9" s="26">
        <v>0.0</v>
      </c>
      <c r="H9" s="27">
        <v>0.0</v>
      </c>
      <c r="I9" s="30">
        <v>0.0</v>
      </c>
      <c r="J9" s="31"/>
    </row>
    <row r="10">
      <c r="A10" s="22"/>
      <c r="B10" s="24">
        <v>45911.0</v>
      </c>
      <c r="C10" s="25" t="s">
        <v>31</v>
      </c>
      <c r="D10" s="26"/>
      <c r="E10" s="26">
        <v>0.0</v>
      </c>
      <c r="F10" s="26">
        <v>0.0</v>
      </c>
      <c r="G10" s="26">
        <v>0.0</v>
      </c>
      <c r="H10" s="27">
        <v>0.0</v>
      </c>
      <c r="I10" s="30">
        <v>0.0</v>
      </c>
      <c r="J10" s="31"/>
    </row>
    <row r="11">
      <c r="A11" s="22"/>
      <c r="B11" s="36">
        <v>45941.0</v>
      </c>
      <c r="C11" s="25" t="s">
        <v>32</v>
      </c>
      <c r="D11" s="26"/>
      <c r="E11" s="26">
        <v>0.0</v>
      </c>
      <c r="F11" s="26">
        <v>0.0</v>
      </c>
      <c r="G11" s="26">
        <v>0.0</v>
      </c>
      <c r="H11" s="27">
        <v>0.0</v>
      </c>
      <c r="I11" s="30">
        <v>0.0</v>
      </c>
      <c r="J11" s="31"/>
    </row>
    <row r="12">
      <c r="A12" s="22"/>
      <c r="B12" s="36">
        <v>45972.0</v>
      </c>
      <c r="C12" s="25" t="s">
        <v>34</v>
      </c>
      <c r="D12" s="26"/>
      <c r="E12" s="26">
        <v>0.0</v>
      </c>
      <c r="F12" s="26">
        <v>0.0</v>
      </c>
      <c r="G12" s="26">
        <v>0.0</v>
      </c>
      <c r="H12" s="27">
        <v>0.0</v>
      </c>
      <c r="I12" s="30">
        <v>0.0</v>
      </c>
      <c r="J12" s="31"/>
    </row>
    <row r="13">
      <c r="A13" s="22"/>
      <c r="B13" s="36">
        <v>46002.0</v>
      </c>
      <c r="C13" s="25" t="s">
        <v>35</v>
      </c>
      <c r="D13" s="26"/>
      <c r="E13" s="26">
        <v>0.0</v>
      </c>
      <c r="F13" s="26">
        <v>0.0</v>
      </c>
      <c r="G13" s="26">
        <v>0.0</v>
      </c>
      <c r="H13" s="27">
        <v>0.0</v>
      </c>
      <c r="I13" s="30">
        <v>0.0</v>
      </c>
      <c r="J13" s="31"/>
    </row>
    <row r="14">
      <c r="A14" s="22"/>
      <c r="B14" s="25" t="s">
        <v>38</v>
      </c>
      <c r="C14" s="25" t="s">
        <v>36</v>
      </c>
      <c r="D14" s="26"/>
      <c r="E14" s="26">
        <v>0.0</v>
      </c>
      <c r="F14" s="26">
        <v>0.0</v>
      </c>
      <c r="G14" s="26">
        <v>0.0</v>
      </c>
      <c r="H14" s="27">
        <v>0.0</v>
      </c>
      <c r="I14" s="30">
        <v>0.0</v>
      </c>
      <c r="J14" s="31"/>
    </row>
    <row r="15">
      <c r="A15" s="22"/>
      <c r="B15" s="25" t="s">
        <v>39</v>
      </c>
      <c r="C15" s="25" t="s">
        <v>30</v>
      </c>
      <c r="D15" s="26"/>
      <c r="E15" s="26">
        <v>0.0</v>
      </c>
      <c r="F15" s="26">
        <v>0.0</v>
      </c>
      <c r="G15" s="26">
        <v>0.0</v>
      </c>
      <c r="H15" s="27">
        <v>0.0</v>
      </c>
      <c r="I15" s="30">
        <v>0.0</v>
      </c>
      <c r="J15" s="31"/>
    </row>
    <row r="16">
      <c r="A16" s="22"/>
      <c r="B16" s="25" t="s">
        <v>40</v>
      </c>
      <c r="C16" s="25" t="s">
        <v>29</v>
      </c>
      <c r="D16" s="26"/>
      <c r="E16" s="26">
        <v>0.0</v>
      </c>
      <c r="F16" s="26">
        <v>0.0</v>
      </c>
      <c r="G16" s="26">
        <v>0.0</v>
      </c>
      <c r="H16" s="27">
        <v>0.0</v>
      </c>
      <c r="I16" s="30">
        <v>0.0</v>
      </c>
      <c r="J16" s="31"/>
    </row>
    <row r="17">
      <c r="A17" s="22"/>
      <c r="B17" s="25" t="s">
        <v>41</v>
      </c>
      <c r="C17" s="25" t="s">
        <v>31</v>
      </c>
      <c r="D17" s="26"/>
      <c r="E17" s="26">
        <v>0.0</v>
      </c>
      <c r="F17" s="26">
        <v>0.0</v>
      </c>
      <c r="G17" s="26">
        <v>0.0</v>
      </c>
      <c r="H17" s="27">
        <v>0.0</v>
      </c>
      <c r="I17" s="30">
        <v>0.0</v>
      </c>
      <c r="J17" s="31"/>
    </row>
    <row r="18">
      <c r="A18" s="22"/>
      <c r="B18" s="25" t="s">
        <v>42</v>
      </c>
      <c r="C18" s="25" t="s">
        <v>32</v>
      </c>
      <c r="D18" s="26"/>
      <c r="E18" s="26">
        <v>0.0</v>
      </c>
      <c r="F18" s="26">
        <v>0.0</v>
      </c>
      <c r="G18" s="26">
        <v>0.0</v>
      </c>
      <c r="H18" s="27">
        <v>0.0</v>
      </c>
      <c r="I18" s="30">
        <v>0.0</v>
      </c>
      <c r="J18" s="31"/>
    </row>
    <row r="19">
      <c r="A19" s="22"/>
      <c r="B19" s="25" t="s">
        <v>43</v>
      </c>
      <c r="C19" s="25" t="s">
        <v>34</v>
      </c>
      <c r="D19" s="26"/>
      <c r="E19" s="26">
        <v>0.0</v>
      </c>
      <c r="F19" s="26">
        <v>0.0</v>
      </c>
      <c r="G19" s="26">
        <v>0.0</v>
      </c>
      <c r="H19" s="27">
        <v>0.0</v>
      </c>
      <c r="I19" s="30">
        <v>0.0</v>
      </c>
      <c r="J19" s="31"/>
    </row>
    <row r="20">
      <c r="A20" s="22"/>
      <c r="B20" s="25" t="s">
        <v>44</v>
      </c>
      <c r="C20" s="25" t="s">
        <v>35</v>
      </c>
      <c r="D20" s="26"/>
      <c r="E20" s="26">
        <v>0.0</v>
      </c>
      <c r="F20" s="26">
        <v>0.0</v>
      </c>
      <c r="G20" s="26">
        <v>0.0</v>
      </c>
      <c r="H20" s="27">
        <v>0.0</v>
      </c>
      <c r="I20" s="30">
        <v>0.0</v>
      </c>
      <c r="J20" s="31"/>
    </row>
    <row r="21">
      <c r="A21" s="22"/>
      <c r="B21" s="25" t="s">
        <v>46</v>
      </c>
      <c r="C21" s="25" t="s">
        <v>36</v>
      </c>
      <c r="D21" s="26"/>
      <c r="E21" s="26">
        <v>0.0</v>
      </c>
      <c r="F21" s="26">
        <v>0.0</v>
      </c>
      <c r="G21" s="26">
        <v>0.0</v>
      </c>
      <c r="H21" s="27">
        <v>0.0</v>
      </c>
      <c r="I21" s="30">
        <v>0.0</v>
      </c>
      <c r="J21" s="31"/>
    </row>
    <row r="22">
      <c r="A22" s="22"/>
      <c r="B22" s="25" t="s">
        <v>48</v>
      </c>
      <c r="C22" s="25" t="s">
        <v>30</v>
      </c>
      <c r="D22" s="26"/>
      <c r="E22" s="26">
        <v>0.0</v>
      </c>
      <c r="F22" s="26">
        <v>0.0</v>
      </c>
      <c r="G22" s="26">
        <v>0.0</v>
      </c>
      <c r="H22" s="27">
        <v>0.0</v>
      </c>
      <c r="I22" s="30">
        <v>0.0</v>
      </c>
      <c r="J22" s="31"/>
    </row>
    <row r="23">
      <c r="A23" s="22"/>
      <c r="B23" s="25" t="s">
        <v>50</v>
      </c>
      <c r="C23" s="25" t="s">
        <v>29</v>
      </c>
      <c r="D23" s="26"/>
      <c r="E23" s="26">
        <v>0.0</v>
      </c>
      <c r="F23" s="26">
        <v>0.0</v>
      </c>
      <c r="G23" s="26">
        <v>0.0</v>
      </c>
      <c r="H23" s="27">
        <v>0.0</v>
      </c>
      <c r="I23" s="30">
        <v>0.0</v>
      </c>
      <c r="J23" s="31"/>
    </row>
    <row r="24">
      <c r="A24" s="22"/>
      <c r="B24" s="25" t="s">
        <v>52</v>
      </c>
      <c r="C24" s="25" t="s">
        <v>31</v>
      </c>
      <c r="D24" s="26"/>
      <c r="E24" s="26">
        <v>0.0</v>
      </c>
      <c r="F24" s="26">
        <v>0.0</v>
      </c>
      <c r="G24" s="26">
        <v>0.0</v>
      </c>
      <c r="H24" s="27">
        <v>0.0</v>
      </c>
      <c r="I24" s="30">
        <v>0.0</v>
      </c>
      <c r="J24" s="31"/>
    </row>
    <row r="25">
      <c r="A25" s="22"/>
      <c r="B25" s="25" t="s">
        <v>53</v>
      </c>
      <c r="C25" s="25" t="s">
        <v>32</v>
      </c>
      <c r="D25" s="26"/>
      <c r="E25" s="26">
        <v>0.0</v>
      </c>
      <c r="F25" s="26">
        <v>0.0</v>
      </c>
      <c r="G25" s="26">
        <v>0.0</v>
      </c>
      <c r="H25" s="27">
        <v>0.0</v>
      </c>
      <c r="I25" s="30">
        <v>0.0</v>
      </c>
      <c r="J25" s="31"/>
    </row>
    <row r="26">
      <c r="A26" s="22"/>
      <c r="B26" s="25" t="s">
        <v>55</v>
      </c>
      <c r="C26" s="25" t="s">
        <v>34</v>
      </c>
      <c r="D26" s="26"/>
      <c r="E26" s="26">
        <v>0.0</v>
      </c>
      <c r="F26" s="26">
        <v>0.0</v>
      </c>
      <c r="G26" s="26">
        <v>0.0</v>
      </c>
      <c r="H26" s="27">
        <v>0.0</v>
      </c>
      <c r="I26" s="30">
        <v>0.0</v>
      </c>
      <c r="J26" s="31"/>
    </row>
    <row r="27">
      <c r="A27" s="22"/>
      <c r="B27" s="25" t="s">
        <v>56</v>
      </c>
      <c r="C27" s="25" t="s">
        <v>35</v>
      </c>
      <c r="D27" s="26"/>
      <c r="E27" s="26">
        <v>0.0</v>
      </c>
      <c r="F27" s="26">
        <v>0.0</v>
      </c>
      <c r="G27" s="26">
        <v>0.0</v>
      </c>
      <c r="H27" s="27">
        <v>0.0</v>
      </c>
      <c r="I27" s="30">
        <v>0.0</v>
      </c>
      <c r="J27" s="31"/>
    </row>
    <row r="28">
      <c r="A28" s="22"/>
      <c r="B28" s="25" t="s">
        <v>58</v>
      </c>
      <c r="C28" s="25" t="s">
        <v>36</v>
      </c>
      <c r="D28" s="26"/>
      <c r="E28" s="26">
        <v>0.0</v>
      </c>
      <c r="F28" s="26">
        <v>0.0</v>
      </c>
      <c r="G28" s="26">
        <v>0.0</v>
      </c>
      <c r="H28" s="27">
        <v>0.0</v>
      </c>
      <c r="I28" s="30">
        <v>0.0</v>
      </c>
      <c r="J28" s="31"/>
    </row>
    <row r="29">
      <c r="A29" s="22"/>
      <c r="B29" s="25" t="s">
        <v>60</v>
      </c>
      <c r="C29" s="25" t="s">
        <v>30</v>
      </c>
      <c r="D29" s="26"/>
      <c r="E29" s="26">
        <v>0.0</v>
      </c>
      <c r="F29" s="26">
        <v>0.0</v>
      </c>
      <c r="G29" s="26">
        <v>0.0</v>
      </c>
      <c r="H29" s="27">
        <v>0.0</v>
      </c>
      <c r="I29" s="30">
        <v>0.0</v>
      </c>
      <c r="J29" s="31"/>
    </row>
    <row r="30">
      <c r="A30" s="22"/>
      <c r="B30" s="25" t="s">
        <v>62</v>
      </c>
      <c r="C30" s="25" t="s">
        <v>29</v>
      </c>
      <c r="D30" s="26"/>
      <c r="E30" s="46">
        <v>8803.0</v>
      </c>
      <c r="F30" s="26">
        <v>0.0</v>
      </c>
      <c r="G30" s="26">
        <v>0.0</v>
      </c>
      <c r="H30" s="27">
        <v>0.0</v>
      </c>
      <c r="I30" s="30">
        <v>0.0</v>
      </c>
      <c r="J30" s="31">
        <f t="shared" ref="J30:J31" si="1">SUM(D30:I30)</f>
        <v>8803</v>
      </c>
    </row>
    <row r="31">
      <c r="A31" s="22"/>
      <c r="B31" s="25" t="s">
        <v>71</v>
      </c>
      <c r="C31" s="25" t="s">
        <v>31</v>
      </c>
      <c r="D31" s="26"/>
      <c r="E31" s="46">
        <v>5805.0</v>
      </c>
      <c r="F31" s="26">
        <v>0.0</v>
      </c>
      <c r="G31" s="26">
        <v>0.0</v>
      </c>
      <c r="H31" s="27">
        <v>0.0</v>
      </c>
      <c r="I31" s="30">
        <v>0.0</v>
      </c>
      <c r="J31" s="31">
        <f t="shared" si="1"/>
        <v>5805</v>
      </c>
    </row>
    <row r="32">
      <c r="A32" s="49"/>
      <c r="B32" s="52" t="s">
        <v>75</v>
      </c>
      <c r="C32" s="53"/>
      <c r="D32" s="54"/>
      <c r="E32" s="54">
        <f>SUM(E2:E31)</f>
        <v>14608</v>
      </c>
      <c r="F32" s="54">
        <v>0.0</v>
      </c>
      <c r="G32" s="54">
        <v>0.0</v>
      </c>
      <c r="H32" s="56"/>
      <c r="I32" s="59">
        <v>0.0</v>
      </c>
      <c r="J32" s="61">
        <f>sum(D32:I32)</f>
        <v>14608</v>
      </c>
    </row>
    <row r="33">
      <c r="A33" s="60" t="s">
        <v>82</v>
      </c>
      <c r="B33" s="24">
        <v>45669.0</v>
      </c>
      <c r="C33" s="25" t="s">
        <v>32</v>
      </c>
      <c r="D33" s="26"/>
      <c r="E33" s="46">
        <v>9716.0</v>
      </c>
      <c r="F33" s="26">
        <v>0.0</v>
      </c>
      <c r="G33" s="26">
        <v>0.0</v>
      </c>
      <c r="H33" s="27">
        <v>0.0</v>
      </c>
      <c r="I33" s="30">
        <v>165.0</v>
      </c>
      <c r="J33" s="63">
        <v>165.0</v>
      </c>
    </row>
    <row r="34">
      <c r="A34" s="22"/>
      <c r="B34" s="24">
        <v>45700.0</v>
      </c>
      <c r="C34" s="25" t="s">
        <v>34</v>
      </c>
      <c r="D34" s="26"/>
      <c r="E34" s="46">
        <v>5368.0</v>
      </c>
      <c r="F34" s="26">
        <v>0.0</v>
      </c>
      <c r="G34" s="26">
        <v>0.0</v>
      </c>
      <c r="H34" s="27">
        <v>0.0</v>
      </c>
      <c r="I34" s="30">
        <v>99.0</v>
      </c>
      <c r="J34" s="63">
        <v>99.0</v>
      </c>
    </row>
    <row r="35">
      <c r="A35" s="22"/>
      <c r="B35" s="24">
        <v>45728.0</v>
      </c>
      <c r="C35" s="25" t="s">
        <v>35</v>
      </c>
      <c r="D35" s="26"/>
      <c r="E35" s="46">
        <v>8074.0</v>
      </c>
      <c r="F35" s="26">
        <v>0.0</v>
      </c>
      <c r="G35" s="26">
        <v>0.0</v>
      </c>
      <c r="H35" s="27">
        <v>0.0</v>
      </c>
      <c r="I35" s="30">
        <v>0.0</v>
      </c>
      <c r="J35" s="63">
        <v>0.0</v>
      </c>
    </row>
    <row r="36">
      <c r="A36" s="22"/>
      <c r="B36" s="24">
        <v>45759.0</v>
      </c>
      <c r="C36" s="25" t="s">
        <v>36</v>
      </c>
      <c r="D36" s="26"/>
      <c r="E36" s="46">
        <v>8104.0</v>
      </c>
      <c r="F36" s="26">
        <v>0.0</v>
      </c>
      <c r="G36" s="26">
        <v>0.0</v>
      </c>
      <c r="H36" s="27">
        <v>0.0</v>
      </c>
      <c r="I36" s="30">
        <v>1684.0</v>
      </c>
      <c r="J36" s="63">
        <v>1684.0</v>
      </c>
    </row>
    <row r="37">
      <c r="A37" s="22"/>
      <c r="B37" s="24">
        <v>45789.0</v>
      </c>
      <c r="C37" s="25" t="s">
        <v>30</v>
      </c>
      <c r="D37" s="26"/>
      <c r="E37" s="46">
        <v>9179.0</v>
      </c>
      <c r="F37" s="26">
        <v>0.0</v>
      </c>
      <c r="G37" s="26">
        <v>0.0</v>
      </c>
      <c r="H37" s="27">
        <v>0.0</v>
      </c>
      <c r="I37" s="30">
        <v>3905.0</v>
      </c>
      <c r="J37" s="63">
        <v>3905.0</v>
      </c>
    </row>
    <row r="38">
      <c r="A38" s="22"/>
      <c r="B38" s="24">
        <v>45820.0</v>
      </c>
      <c r="C38" s="25" t="s">
        <v>29</v>
      </c>
      <c r="D38" s="26"/>
      <c r="E38" s="46">
        <v>11770.0</v>
      </c>
      <c r="F38" s="26">
        <v>0.0</v>
      </c>
      <c r="G38" s="26">
        <v>0.0</v>
      </c>
      <c r="H38" s="27">
        <v>0.0</v>
      </c>
      <c r="I38" s="30">
        <v>5123.0</v>
      </c>
      <c r="J38" s="63">
        <v>5123.0</v>
      </c>
    </row>
    <row r="39">
      <c r="A39" s="22"/>
      <c r="B39" s="24">
        <v>45850.0</v>
      </c>
      <c r="C39" s="25" t="s">
        <v>31</v>
      </c>
      <c r="D39" s="26"/>
      <c r="E39" s="46">
        <v>19118.0</v>
      </c>
      <c r="F39" s="26">
        <v>0.0</v>
      </c>
      <c r="G39" s="26">
        <v>0.0</v>
      </c>
      <c r="H39" s="27">
        <v>0.0</v>
      </c>
      <c r="I39" s="30">
        <v>6878.0</v>
      </c>
      <c r="J39" s="63">
        <v>6878.0</v>
      </c>
    </row>
    <row r="40">
      <c r="A40" s="22"/>
      <c r="B40" s="24">
        <v>45881.0</v>
      </c>
      <c r="C40" s="25" t="s">
        <v>32</v>
      </c>
      <c r="D40" s="26"/>
      <c r="E40" s="46">
        <v>6094.0</v>
      </c>
      <c r="F40" s="26">
        <v>0.0</v>
      </c>
      <c r="G40" s="26">
        <v>0.0</v>
      </c>
      <c r="H40" s="27">
        <v>0.0</v>
      </c>
      <c r="I40" s="30">
        <v>3623.0</v>
      </c>
      <c r="J40" s="63">
        <v>3623.0</v>
      </c>
    </row>
    <row r="41">
      <c r="A41" s="22"/>
      <c r="B41" s="24">
        <v>45912.0</v>
      </c>
      <c r="C41" s="25" t="s">
        <v>34</v>
      </c>
      <c r="D41" s="26"/>
      <c r="E41" s="46">
        <v>8387.0</v>
      </c>
      <c r="F41" s="26">
        <v>0.0</v>
      </c>
      <c r="G41" s="26">
        <v>0.0</v>
      </c>
      <c r="H41" s="27">
        <v>0.0</v>
      </c>
      <c r="I41" s="30">
        <v>4823.0</v>
      </c>
      <c r="J41" s="63">
        <v>4823.0</v>
      </c>
    </row>
    <row r="42">
      <c r="A42" s="22"/>
      <c r="B42" s="36">
        <v>45942.0</v>
      </c>
      <c r="C42" s="25" t="s">
        <v>35</v>
      </c>
      <c r="D42" s="26"/>
      <c r="E42" s="46">
        <v>7491.0</v>
      </c>
      <c r="F42" s="26">
        <v>0.0</v>
      </c>
      <c r="G42" s="26">
        <v>0.0</v>
      </c>
      <c r="H42" s="27">
        <v>0.0</v>
      </c>
      <c r="I42" s="30">
        <v>3182.0</v>
      </c>
      <c r="J42" s="63">
        <v>3182.0</v>
      </c>
    </row>
    <row r="43">
      <c r="A43" s="22"/>
      <c r="B43" s="36">
        <v>45973.0</v>
      </c>
      <c r="C43" s="25" t="s">
        <v>36</v>
      </c>
      <c r="D43" s="26"/>
      <c r="E43" s="46">
        <v>7007.0</v>
      </c>
      <c r="F43" s="26">
        <v>0.0</v>
      </c>
      <c r="G43" s="26">
        <v>0.0</v>
      </c>
      <c r="H43" s="27">
        <v>0.0</v>
      </c>
      <c r="I43" s="30">
        <v>4188.0</v>
      </c>
      <c r="J43" s="63">
        <v>4188.0</v>
      </c>
    </row>
    <row r="44">
      <c r="A44" s="22"/>
      <c r="B44" s="36">
        <v>46003.0</v>
      </c>
      <c r="C44" s="25" t="s">
        <v>30</v>
      </c>
      <c r="D44" s="42"/>
      <c r="E44" s="46">
        <v>8148.0</v>
      </c>
      <c r="F44" s="26">
        <v>0.0</v>
      </c>
      <c r="G44" s="26">
        <v>0.0</v>
      </c>
      <c r="H44" s="27">
        <v>0.0</v>
      </c>
      <c r="I44" s="30">
        <v>5340.0</v>
      </c>
      <c r="J44" s="63">
        <v>13488.0</v>
      </c>
    </row>
    <row r="45">
      <c r="A45" s="22"/>
      <c r="B45" s="25" t="s">
        <v>97</v>
      </c>
      <c r="C45" s="25" t="s">
        <v>29</v>
      </c>
      <c r="D45" s="42"/>
      <c r="E45" s="46">
        <v>15204.0</v>
      </c>
      <c r="F45" s="26">
        <v>0.0</v>
      </c>
      <c r="G45" s="26">
        <v>0.0</v>
      </c>
      <c r="H45" s="27">
        <v>0.0</v>
      </c>
      <c r="I45" s="30">
        <v>7057.0</v>
      </c>
      <c r="J45" s="63">
        <v>22261.0</v>
      </c>
    </row>
    <row r="46">
      <c r="A46" s="22"/>
      <c r="B46" s="25" t="s">
        <v>98</v>
      </c>
      <c r="C46" s="25" t="s">
        <v>31</v>
      </c>
      <c r="D46" s="42"/>
      <c r="E46" s="46">
        <v>17001.0</v>
      </c>
      <c r="F46" s="26">
        <v>0.0</v>
      </c>
      <c r="G46" s="26">
        <v>0.0</v>
      </c>
      <c r="H46" s="27">
        <v>0.0</v>
      </c>
      <c r="I46" s="30">
        <v>11274.0</v>
      </c>
      <c r="J46" s="63">
        <v>28275.0</v>
      </c>
    </row>
    <row r="47">
      <c r="A47" s="22"/>
      <c r="B47" s="25" t="s">
        <v>100</v>
      </c>
      <c r="C47" s="25" t="s">
        <v>32</v>
      </c>
      <c r="D47" s="42"/>
      <c r="E47" s="46">
        <v>7642.0</v>
      </c>
      <c r="F47" s="26">
        <v>0.0</v>
      </c>
      <c r="G47" s="26">
        <v>0.0</v>
      </c>
      <c r="H47" s="27">
        <v>0.0</v>
      </c>
      <c r="I47" s="30">
        <v>4617.0</v>
      </c>
      <c r="J47" s="63">
        <v>12259.0</v>
      </c>
    </row>
    <row r="48">
      <c r="A48" s="22"/>
      <c r="B48" s="25" t="s">
        <v>101</v>
      </c>
      <c r="C48" s="25" t="s">
        <v>34</v>
      </c>
      <c r="D48" s="42"/>
      <c r="E48" s="46">
        <v>10446.0</v>
      </c>
      <c r="F48" s="26">
        <v>0.0</v>
      </c>
      <c r="G48" s="26">
        <v>0.0</v>
      </c>
      <c r="H48" s="27">
        <v>0.0</v>
      </c>
      <c r="I48" s="30">
        <v>4737.0</v>
      </c>
      <c r="J48" s="63">
        <v>15183.0</v>
      </c>
    </row>
    <row r="49">
      <c r="A49" s="22"/>
      <c r="B49" s="25" t="s">
        <v>102</v>
      </c>
      <c r="C49" s="25" t="s">
        <v>35</v>
      </c>
      <c r="D49" s="42"/>
      <c r="E49" s="46">
        <v>10770.0</v>
      </c>
      <c r="F49" s="26">
        <v>0.0</v>
      </c>
      <c r="G49" s="26">
        <v>0.0</v>
      </c>
      <c r="H49" s="27">
        <v>0.0</v>
      </c>
      <c r="I49" s="30">
        <v>3180.0</v>
      </c>
      <c r="J49" s="63">
        <v>13950.0</v>
      </c>
    </row>
    <row r="50">
      <c r="A50" s="22"/>
      <c r="B50" s="25" t="s">
        <v>103</v>
      </c>
      <c r="C50" s="25" t="s">
        <v>36</v>
      </c>
      <c r="D50" s="42"/>
      <c r="E50" s="46">
        <v>5627.0</v>
      </c>
      <c r="F50" s="26">
        <v>0.0</v>
      </c>
      <c r="G50" s="26">
        <v>0.0</v>
      </c>
      <c r="H50" s="27">
        <v>0.0</v>
      </c>
      <c r="I50" s="30">
        <v>4858.0</v>
      </c>
      <c r="J50" s="63">
        <v>10221.0</v>
      </c>
    </row>
    <row r="51">
      <c r="A51" s="22"/>
      <c r="B51" s="25" t="s">
        <v>104</v>
      </c>
      <c r="C51" s="25" t="s">
        <v>30</v>
      </c>
      <c r="D51" s="42"/>
      <c r="E51" s="46">
        <v>10123.0</v>
      </c>
      <c r="F51" s="26">
        <v>0.0</v>
      </c>
      <c r="G51" s="26">
        <v>0.0</v>
      </c>
      <c r="H51" s="27">
        <v>0.0</v>
      </c>
      <c r="I51" s="30">
        <v>5218.0</v>
      </c>
      <c r="J51" s="63">
        <v>15341.0</v>
      </c>
    </row>
    <row r="52">
      <c r="A52" s="22"/>
      <c r="B52" s="25" t="s">
        <v>105</v>
      </c>
      <c r="C52" s="25" t="s">
        <v>29</v>
      </c>
      <c r="D52" s="42"/>
      <c r="E52" s="46">
        <v>12950.0</v>
      </c>
      <c r="F52" s="26">
        <v>0.0</v>
      </c>
      <c r="G52" s="26">
        <v>0.0</v>
      </c>
      <c r="H52" s="27">
        <v>0.0</v>
      </c>
      <c r="I52" s="30">
        <v>5406.0</v>
      </c>
      <c r="J52" s="63">
        <v>18148.0</v>
      </c>
    </row>
    <row r="53">
      <c r="A53" s="22"/>
      <c r="B53" s="25" t="s">
        <v>106</v>
      </c>
      <c r="C53" s="25" t="s">
        <v>31</v>
      </c>
      <c r="D53" s="42"/>
      <c r="E53" s="46">
        <v>13600.0</v>
      </c>
      <c r="F53" s="26">
        <v>0.0</v>
      </c>
      <c r="G53" s="26">
        <v>0.0</v>
      </c>
      <c r="H53" s="27">
        <v>0.0</v>
      </c>
      <c r="I53" s="30">
        <v>7163.0</v>
      </c>
      <c r="J53" s="63">
        <v>20763.0</v>
      </c>
    </row>
    <row r="54">
      <c r="A54" s="22"/>
      <c r="B54" s="25" t="s">
        <v>108</v>
      </c>
      <c r="C54" s="25" t="s">
        <v>32</v>
      </c>
      <c r="D54" s="42"/>
      <c r="E54" s="46">
        <v>8781.0</v>
      </c>
      <c r="F54" s="26">
        <v>0.0</v>
      </c>
      <c r="G54" s="26">
        <v>0.0</v>
      </c>
      <c r="H54" s="27">
        <v>0.0</v>
      </c>
      <c r="I54" s="30">
        <v>6374.0</v>
      </c>
      <c r="J54" s="63">
        <v>15155.0</v>
      </c>
    </row>
    <row r="55">
      <c r="A55" s="22"/>
      <c r="B55" s="25" t="s">
        <v>109</v>
      </c>
      <c r="C55" s="25" t="s">
        <v>34</v>
      </c>
      <c r="D55" s="42"/>
      <c r="E55" s="46">
        <v>9436.0</v>
      </c>
      <c r="F55" s="26">
        <v>0.0</v>
      </c>
      <c r="G55" s="26">
        <v>0.0</v>
      </c>
      <c r="H55" s="27">
        <v>0.0</v>
      </c>
      <c r="I55" s="30">
        <v>5119.0</v>
      </c>
      <c r="J55" s="63">
        <v>14555.0</v>
      </c>
    </row>
    <row r="56">
      <c r="A56" s="22"/>
      <c r="B56" s="25" t="s">
        <v>110</v>
      </c>
      <c r="C56" s="25" t="s">
        <v>35</v>
      </c>
      <c r="D56" s="42"/>
      <c r="E56" s="46">
        <v>12649.0</v>
      </c>
      <c r="F56" s="26">
        <v>0.0</v>
      </c>
      <c r="G56" s="26">
        <v>0.0</v>
      </c>
      <c r="H56" s="27">
        <v>0.0</v>
      </c>
      <c r="I56" s="30">
        <v>9059.0</v>
      </c>
      <c r="J56" s="63">
        <v>21708.0</v>
      </c>
    </row>
    <row r="57">
      <c r="A57" s="22"/>
      <c r="B57" s="25" t="s">
        <v>111</v>
      </c>
      <c r="C57" s="25" t="s">
        <v>36</v>
      </c>
      <c r="D57" s="42"/>
      <c r="E57" s="46">
        <v>18089.0</v>
      </c>
      <c r="F57" s="26">
        <v>0.0</v>
      </c>
      <c r="G57" s="26">
        <v>0.0</v>
      </c>
      <c r="H57" s="27">
        <v>0.0</v>
      </c>
      <c r="I57" s="30">
        <v>10194.0</v>
      </c>
      <c r="J57" s="63">
        <v>28283.0</v>
      </c>
    </row>
    <row r="58">
      <c r="A58" s="22"/>
      <c r="B58" s="25" t="s">
        <v>112</v>
      </c>
      <c r="C58" s="25" t="s">
        <v>30</v>
      </c>
      <c r="D58" s="42"/>
      <c r="E58" s="46">
        <v>8927.0</v>
      </c>
      <c r="F58" s="26">
        <v>0.0</v>
      </c>
      <c r="G58" s="26">
        <v>0.0</v>
      </c>
      <c r="H58" s="27">
        <v>0.0</v>
      </c>
      <c r="I58" s="30">
        <v>4645.0</v>
      </c>
      <c r="J58" s="63">
        <v>13468.0</v>
      </c>
    </row>
    <row r="59">
      <c r="A59" s="22"/>
      <c r="B59" s="25" t="s">
        <v>113</v>
      </c>
      <c r="C59" s="25" t="s">
        <v>29</v>
      </c>
      <c r="D59" s="42"/>
      <c r="E59" s="46">
        <v>17228.0</v>
      </c>
      <c r="F59" s="26">
        <v>0.0</v>
      </c>
      <c r="G59" s="26">
        <v>0.0</v>
      </c>
      <c r="H59" s="27">
        <v>0.0</v>
      </c>
      <c r="I59" s="30">
        <v>6493.0</v>
      </c>
      <c r="J59" s="63">
        <v>23721.0</v>
      </c>
    </row>
    <row r="60">
      <c r="A60" s="22"/>
      <c r="B60" s="25" t="s">
        <v>114</v>
      </c>
      <c r="C60" s="25" t="s">
        <v>31</v>
      </c>
      <c r="D60" s="42"/>
      <c r="E60" s="46">
        <v>9298.0</v>
      </c>
      <c r="F60" s="26">
        <v>0.0</v>
      </c>
      <c r="G60" s="26">
        <v>0.0</v>
      </c>
      <c r="H60" s="27">
        <v>0.0</v>
      </c>
      <c r="I60" s="30">
        <v>7085.0</v>
      </c>
      <c r="J60" s="63">
        <v>16383.0</v>
      </c>
    </row>
    <row r="61">
      <c r="A61" s="22"/>
      <c r="B61" s="25" t="s">
        <v>117</v>
      </c>
      <c r="C61" s="25" t="s">
        <v>32</v>
      </c>
      <c r="D61" s="42"/>
      <c r="E61" s="46">
        <v>13347.0</v>
      </c>
      <c r="F61" s="26">
        <v>0.0</v>
      </c>
      <c r="G61" s="26">
        <v>0.0</v>
      </c>
      <c r="H61" s="27">
        <v>0.0</v>
      </c>
      <c r="I61" s="30">
        <v>5338.0</v>
      </c>
      <c r="J61" s="63">
        <v>18685.0</v>
      </c>
    </row>
    <row r="62">
      <c r="A62" s="22"/>
      <c r="B62" s="25" t="s">
        <v>119</v>
      </c>
      <c r="C62" s="25" t="s">
        <v>34</v>
      </c>
      <c r="D62" s="42"/>
      <c r="E62" s="46">
        <v>17051.0</v>
      </c>
      <c r="F62" s="26">
        <v>0.0</v>
      </c>
      <c r="G62" s="26">
        <v>0.0</v>
      </c>
      <c r="H62" s="27">
        <v>0.0</v>
      </c>
      <c r="I62" s="30">
        <v>8035.0</v>
      </c>
      <c r="J62" s="63">
        <v>25086.0</v>
      </c>
    </row>
    <row r="63">
      <c r="A63" s="22"/>
      <c r="B63" s="25" t="s">
        <v>121</v>
      </c>
      <c r="C63" s="25" t="s">
        <v>35</v>
      </c>
      <c r="D63" s="42"/>
      <c r="E63" s="46">
        <v>17200.0</v>
      </c>
      <c r="F63" s="26">
        <v>0.0</v>
      </c>
      <c r="G63" s="26">
        <v>0.0</v>
      </c>
      <c r="H63" s="27">
        <v>0.0</v>
      </c>
      <c r="I63" s="30">
        <v>6438.0</v>
      </c>
      <c r="J63" s="63">
        <v>23180.0</v>
      </c>
    </row>
    <row r="64">
      <c r="A64" s="49"/>
      <c r="B64" s="72" t="s">
        <v>75</v>
      </c>
      <c r="C64" s="73"/>
      <c r="D64" s="54"/>
      <c r="E64" s="54">
        <f>SUM(E33:E63)</f>
        <v>343825</v>
      </c>
      <c r="F64" s="54">
        <v>0.0</v>
      </c>
      <c r="G64" s="54">
        <v>0.0</v>
      </c>
      <c r="H64" s="54">
        <v>241513.0</v>
      </c>
      <c r="I64" s="59">
        <v>161300.0</v>
      </c>
      <c r="J64" s="75">
        <v>645296.0</v>
      </c>
    </row>
    <row r="65">
      <c r="A65" s="60" t="s">
        <v>126</v>
      </c>
      <c r="B65" s="69">
        <v>46023.0</v>
      </c>
      <c r="C65" s="70" t="s">
        <v>36</v>
      </c>
      <c r="D65" s="42"/>
      <c r="E65" s="42">
        <v>22275.0</v>
      </c>
      <c r="F65" s="26">
        <v>0.0</v>
      </c>
      <c r="G65" s="26">
        <v>0.0</v>
      </c>
      <c r="H65" s="27">
        <v>0.0</v>
      </c>
      <c r="I65" s="30">
        <v>12280.0</v>
      </c>
      <c r="J65" s="63">
        <v>34555.0</v>
      </c>
    </row>
    <row r="66">
      <c r="A66" s="22"/>
      <c r="B66" s="69">
        <v>46054.0</v>
      </c>
      <c r="C66" s="70" t="s">
        <v>30</v>
      </c>
      <c r="D66" s="42"/>
      <c r="E66" s="42">
        <v>13192.0</v>
      </c>
      <c r="F66" s="26">
        <v>0.0</v>
      </c>
      <c r="G66" s="26">
        <v>0.0</v>
      </c>
      <c r="H66" s="27">
        <v>0.0</v>
      </c>
      <c r="I66" s="30">
        <v>6377.0</v>
      </c>
      <c r="J66" s="63">
        <v>19569.0</v>
      </c>
    </row>
    <row r="67">
      <c r="A67" s="22"/>
      <c r="B67" s="69">
        <v>46082.0</v>
      </c>
      <c r="C67" s="70" t="s">
        <v>29</v>
      </c>
      <c r="D67" s="42"/>
      <c r="E67" s="42">
        <v>17101.0</v>
      </c>
      <c r="F67" s="26">
        <v>0.0</v>
      </c>
      <c r="G67" s="26">
        <v>0.0</v>
      </c>
      <c r="H67" s="27">
        <v>0.0</v>
      </c>
      <c r="I67" s="30">
        <v>6557.0</v>
      </c>
      <c r="J67" s="63">
        <v>23658.0</v>
      </c>
    </row>
    <row r="68">
      <c r="A68" s="22"/>
      <c r="B68" s="69">
        <v>46113.0</v>
      </c>
      <c r="C68" s="70" t="s">
        <v>31</v>
      </c>
      <c r="D68" s="42"/>
      <c r="E68" s="42">
        <v>13524.0</v>
      </c>
      <c r="F68" s="26">
        <v>0.0</v>
      </c>
      <c r="G68" s="26">
        <v>0.0</v>
      </c>
      <c r="H68" s="27">
        <v>0.0</v>
      </c>
      <c r="I68" s="30">
        <v>8407.0</v>
      </c>
      <c r="J68" s="63">
        <v>21931.0</v>
      </c>
    </row>
    <row r="69">
      <c r="A69" s="22"/>
      <c r="B69" s="69">
        <v>46143.0</v>
      </c>
      <c r="C69" s="70" t="s">
        <v>32</v>
      </c>
      <c r="D69" s="42"/>
      <c r="E69" s="42">
        <v>10423.0</v>
      </c>
      <c r="F69" s="26">
        <v>0.0</v>
      </c>
      <c r="G69" s="26">
        <v>0.0</v>
      </c>
      <c r="H69" s="27">
        <v>0.0</v>
      </c>
      <c r="I69" s="30">
        <v>5609.0</v>
      </c>
      <c r="J69" s="63">
        <v>16032.0</v>
      </c>
    </row>
    <row r="70">
      <c r="A70" s="22"/>
      <c r="B70" s="69">
        <v>46174.0</v>
      </c>
      <c r="C70" s="70" t="s">
        <v>34</v>
      </c>
      <c r="D70" s="42"/>
      <c r="E70" s="42">
        <v>10509.0</v>
      </c>
      <c r="F70" s="26">
        <v>0.0</v>
      </c>
      <c r="G70" s="26">
        <v>0.0</v>
      </c>
      <c r="H70" s="27">
        <v>0.0</v>
      </c>
      <c r="I70" s="30">
        <v>4241.0</v>
      </c>
      <c r="J70" s="63">
        <v>14750.0</v>
      </c>
    </row>
    <row r="71">
      <c r="A71" s="22"/>
      <c r="B71" s="69">
        <v>46204.0</v>
      </c>
      <c r="C71" s="70" t="s">
        <v>35</v>
      </c>
      <c r="D71" s="42"/>
      <c r="E71" s="42">
        <v>13804.0</v>
      </c>
      <c r="F71" s="26">
        <v>0.0</v>
      </c>
      <c r="G71" s="26">
        <v>0.0</v>
      </c>
      <c r="H71" s="27">
        <v>0.0</v>
      </c>
      <c r="I71" s="30">
        <v>8209.0</v>
      </c>
      <c r="J71" s="63">
        <v>22013.0</v>
      </c>
    </row>
    <row r="72">
      <c r="A72" s="22"/>
      <c r="B72" s="69">
        <v>46235.0</v>
      </c>
      <c r="C72" s="70" t="s">
        <v>36</v>
      </c>
      <c r="D72" s="42"/>
      <c r="E72" s="42">
        <v>9695.0</v>
      </c>
      <c r="F72" s="26">
        <v>0.0</v>
      </c>
      <c r="G72" s="26">
        <v>0.0</v>
      </c>
      <c r="H72" s="27">
        <v>0.0</v>
      </c>
      <c r="I72" s="30">
        <v>5153.0</v>
      </c>
      <c r="J72" s="63">
        <v>14848.0</v>
      </c>
    </row>
    <row r="73">
      <c r="A73" s="22"/>
      <c r="B73" s="69">
        <v>46266.0</v>
      </c>
      <c r="C73" s="70" t="s">
        <v>30</v>
      </c>
      <c r="D73" s="42"/>
      <c r="E73" s="42">
        <v>11696.0</v>
      </c>
      <c r="F73" s="26">
        <v>0.0</v>
      </c>
      <c r="G73" s="26">
        <v>0.0</v>
      </c>
      <c r="H73" s="27">
        <v>0.0</v>
      </c>
      <c r="I73" s="30">
        <v>10429.0</v>
      </c>
      <c r="J73" s="63">
        <v>22125.0</v>
      </c>
    </row>
    <row r="74">
      <c r="A74" s="22"/>
      <c r="B74" s="69">
        <v>46296.0</v>
      </c>
      <c r="C74" s="70" t="s">
        <v>29</v>
      </c>
      <c r="D74" s="42"/>
      <c r="E74" s="42">
        <v>17159.0</v>
      </c>
      <c r="F74" s="26">
        <v>0.0</v>
      </c>
      <c r="G74" s="26">
        <v>0.0</v>
      </c>
      <c r="H74" s="27">
        <v>0.0</v>
      </c>
      <c r="I74" s="30">
        <v>11479.0</v>
      </c>
      <c r="J74" s="63">
        <v>28638.0</v>
      </c>
    </row>
    <row r="75">
      <c r="A75" s="22"/>
      <c r="B75" s="69">
        <v>46327.0</v>
      </c>
      <c r="C75" s="70" t="s">
        <v>31</v>
      </c>
      <c r="D75" s="42"/>
      <c r="E75" s="42">
        <v>15340.0</v>
      </c>
      <c r="F75" s="26">
        <v>0.0</v>
      </c>
      <c r="G75" s="26">
        <v>0.0</v>
      </c>
      <c r="H75" s="27">
        <v>0.0</v>
      </c>
      <c r="I75" s="30">
        <v>9561.0</v>
      </c>
      <c r="J75" s="63">
        <v>24901.0</v>
      </c>
    </row>
    <row r="76">
      <c r="A76" s="22"/>
      <c r="B76" s="69">
        <v>46357.0</v>
      </c>
      <c r="C76" s="70" t="s">
        <v>32</v>
      </c>
      <c r="D76" s="42"/>
      <c r="E76" s="42">
        <v>10514.0</v>
      </c>
      <c r="F76" s="26">
        <v>0.0</v>
      </c>
      <c r="G76" s="26">
        <v>0.0</v>
      </c>
      <c r="H76" s="27">
        <v>0.0</v>
      </c>
      <c r="I76" s="30">
        <v>5304.0</v>
      </c>
      <c r="J76" s="63">
        <v>15818.0</v>
      </c>
    </row>
    <row r="77">
      <c r="A77" s="22"/>
      <c r="B77" s="71" t="s">
        <v>128</v>
      </c>
      <c r="C77" s="70" t="s">
        <v>34</v>
      </c>
      <c r="D77" s="42"/>
      <c r="E77" s="42">
        <v>11401.0</v>
      </c>
      <c r="F77" s="26">
        <v>0.0</v>
      </c>
      <c r="G77" s="26">
        <v>0.0</v>
      </c>
      <c r="H77" s="27">
        <v>0.0</v>
      </c>
      <c r="I77" s="30">
        <v>6716.0</v>
      </c>
      <c r="J77" s="63">
        <v>18117.0</v>
      </c>
    </row>
    <row r="78">
      <c r="A78" s="22"/>
      <c r="B78" s="71" t="s">
        <v>129</v>
      </c>
      <c r="C78" s="70" t="s">
        <v>35</v>
      </c>
      <c r="D78" s="42"/>
      <c r="E78" s="42">
        <v>10932.0</v>
      </c>
      <c r="F78" s="26">
        <v>0.0</v>
      </c>
      <c r="G78" s="26">
        <v>0.0</v>
      </c>
      <c r="H78" s="27">
        <v>0.0</v>
      </c>
      <c r="I78" s="30">
        <v>5496.0</v>
      </c>
      <c r="J78" s="63">
        <v>16428.0</v>
      </c>
    </row>
    <row r="79">
      <c r="A79" s="22"/>
      <c r="B79" s="71" t="s">
        <v>130</v>
      </c>
      <c r="C79" s="70" t="s">
        <v>36</v>
      </c>
      <c r="D79" s="42"/>
      <c r="E79" s="42">
        <v>11289.0</v>
      </c>
      <c r="F79" s="26">
        <v>0.0</v>
      </c>
      <c r="G79" s="26">
        <v>0.0</v>
      </c>
      <c r="H79" s="27">
        <v>0.0</v>
      </c>
      <c r="I79" s="30">
        <v>6133.0</v>
      </c>
      <c r="J79" s="63">
        <v>17422.0</v>
      </c>
    </row>
    <row r="80">
      <c r="A80" s="22"/>
      <c r="B80" s="71" t="s">
        <v>131</v>
      </c>
      <c r="C80" s="70" t="s">
        <v>30</v>
      </c>
      <c r="D80" s="42"/>
      <c r="E80" s="42">
        <v>13383.0</v>
      </c>
      <c r="F80" s="26">
        <v>0.0</v>
      </c>
      <c r="G80" s="26">
        <v>0.0</v>
      </c>
      <c r="H80" s="27">
        <v>0.0</v>
      </c>
      <c r="I80" s="30">
        <v>8079.0</v>
      </c>
      <c r="J80" s="63">
        <v>21462.0</v>
      </c>
    </row>
    <row r="81">
      <c r="A81" s="22"/>
      <c r="B81" s="71" t="s">
        <v>132</v>
      </c>
      <c r="C81" s="70" t="s">
        <v>29</v>
      </c>
      <c r="D81" s="42"/>
      <c r="E81" s="42">
        <v>13245.0</v>
      </c>
      <c r="F81" s="26">
        <v>0.0</v>
      </c>
      <c r="G81" s="26">
        <v>0.0</v>
      </c>
      <c r="H81" s="27">
        <v>0.0</v>
      </c>
      <c r="I81" s="30">
        <v>7987.0</v>
      </c>
      <c r="J81" s="63">
        <v>21232.0</v>
      </c>
    </row>
    <row r="82">
      <c r="A82" s="22"/>
      <c r="B82" s="71" t="s">
        <v>133</v>
      </c>
      <c r="C82" s="70" t="s">
        <v>31</v>
      </c>
      <c r="D82" s="42"/>
      <c r="E82" s="42">
        <v>17055.0</v>
      </c>
      <c r="F82" s="26">
        <v>0.0</v>
      </c>
      <c r="G82" s="26">
        <v>0.0</v>
      </c>
      <c r="H82" s="27">
        <v>0.0</v>
      </c>
      <c r="I82" s="30">
        <v>5311.0</v>
      </c>
      <c r="J82" s="63">
        <v>22366.0</v>
      </c>
    </row>
    <row r="83">
      <c r="A83" s="22"/>
      <c r="B83" s="71" t="s">
        <v>134</v>
      </c>
      <c r="C83" s="70" t="s">
        <v>32</v>
      </c>
      <c r="D83" s="42"/>
      <c r="E83" s="42">
        <v>8825.0</v>
      </c>
      <c r="F83" s="26">
        <v>0.0</v>
      </c>
      <c r="G83" s="26">
        <v>0.0</v>
      </c>
      <c r="H83" s="27">
        <v>0.0</v>
      </c>
      <c r="I83" s="30">
        <v>3089.0</v>
      </c>
      <c r="J83" s="63">
        <v>11914.0</v>
      </c>
    </row>
    <row r="84">
      <c r="A84" s="22"/>
      <c r="B84" s="71" t="s">
        <v>135</v>
      </c>
      <c r="C84" s="70" t="s">
        <v>34</v>
      </c>
      <c r="D84" s="42"/>
      <c r="E84" s="42">
        <v>8602.0</v>
      </c>
      <c r="F84" s="26">
        <v>0.0</v>
      </c>
      <c r="G84" s="26">
        <v>0.0</v>
      </c>
      <c r="H84" s="27">
        <v>0.0</v>
      </c>
      <c r="I84" s="30">
        <v>5062.0</v>
      </c>
      <c r="J84" s="63">
        <v>13664.0</v>
      </c>
    </row>
    <row r="85">
      <c r="A85" s="22"/>
      <c r="B85" s="71" t="s">
        <v>136</v>
      </c>
      <c r="C85" s="70" t="s">
        <v>35</v>
      </c>
      <c r="D85" s="42"/>
      <c r="E85" s="42">
        <v>8498.0</v>
      </c>
      <c r="F85" s="26">
        <v>0.0</v>
      </c>
      <c r="G85" s="26">
        <v>0.0</v>
      </c>
      <c r="H85" s="27">
        <v>0.0</v>
      </c>
      <c r="I85" s="30">
        <v>8901.0</v>
      </c>
      <c r="J85" s="63">
        <v>17399.0</v>
      </c>
    </row>
    <row r="86">
      <c r="A86" s="22"/>
      <c r="B86" s="71" t="s">
        <v>137</v>
      </c>
      <c r="C86" s="70" t="s">
        <v>36</v>
      </c>
      <c r="D86" s="42"/>
      <c r="E86" s="42">
        <v>8016.0</v>
      </c>
      <c r="F86" s="26">
        <v>0.0</v>
      </c>
      <c r="G86" s="26">
        <v>0.0</v>
      </c>
      <c r="H86" s="27">
        <v>0.0</v>
      </c>
      <c r="I86" s="30">
        <v>6018.0</v>
      </c>
      <c r="J86" s="63">
        <v>14034.0</v>
      </c>
    </row>
    <row r="87">
      <c r="A87" s="22"/>
      <c r="B87" s="71" t="s">
        <v>138</v>
      </c>
      <c r="C87" s="70" t="s">
        <v>30</v>
      </c>
      <c r="D87" s="42"/>
      <c r="E87" s="42">
        <v>11047.0</v>
      </c>
      <c r="F87" s="26">
        <v>0.0</v>
      </c>
      <c r="G87" s="26">
        <v>0.0</v>
      </c>
      <c r="H87" s="27">
        <v>0.0</v>
      </c>
      <c r="I87" s="30">
        <v>4171.0</v>
      </c>
      <c r="J87" s="63">
        <v>15218.0</v>
      </c>
    </row>
    <row r="88">
      <c r="A88" s="22"/>
      <c r="B88" s="71" t="s">
        <v>139</v>
      </c>
      <c r="C88" s="70" t="s">
        <v>29</v>
      </c>
      <c r="D88" s="42"/>
      <c r="E88" s="42">
        <v>10195.0</v>
      </c>
      <c r="F88" s="26">
        <v>0.0</v>
      </c>
      <c r="G88" s="26">
        <v>0.0</v>
      </c>
      <c r="H88" s="27">
        <v>0.0</v>
      </c>
      <c r="I88" s="30">
        <v>9305.0</v>
      </c>
      <c r="J88" s="63">
        <v>19500.0</v>
      </c>
    </row>
    <row r="89">
      <c r="A89" s="22"/>
      <c r="B89" s="71" t="s">
        <v>140</v>
      </c>
      <c r="C89" s="70" t="s">
        <v>31</v>
      </c>
      <c r="D89" s="42"/>
      <c r="E89" s="42">
        <v>13935.0</v>
      </c>
      <c r="F89" s="26">
        <v>0.0</v>
      </c>
      <c r="G89" s="26">
        <v>0.0</v>
      </c>
      <c r="H89" s="27">
        <v>0.0</v>
      </c>
      <c r="I89" s="30">
        <v>9061.0</v>
      </c>
      <c r="J89" s="63">
        <v>22996.0</v>
      </c>
    </row>
    <row r="90">
      <c r="A90" s="22"/>
      <c r="B90" s="71" t="s">
        <v>141</v>
      </c>
      <c r="C90" s="70" t="s">
        <v>32</v>
      </c>
      <c r="D90" s="42"/>
      <c r="E90" s="42">
        <v>18717.0</v>
      </c>
      <c r="F90" s="26">
        <v>0.0</v>
      </c>
      <c r="G90" s="26">
        <v>0.0</v>
      </c>
      <c r="H90" s="27">
        <v>0.0</v>
      </c>
      <c r="I90" s="30">
        <v>9803.0</v>
      </c>
      <c r="J90" s="63">
        <v>28520.0</v>
      </c>
    </row>
    <row r="91">
      <c r="A91" s="22"/>
      <c r="B91" s="71" t="s">
        <v>142</v>
      </c>
      <c r="C91" s="70" t="s">
        <v>34</v>
      </c>
      <c r="D91" s="42"/>
      <c r="E91" s="42">
        <v>6598.0</v>
      </c>
      <c r="F91" s="26">
        <v>0.0</v>
      </c>
      <c r="G91" s="26">
        <v>0.0</v>
      </c>
      <c r="H91" s="27">
        <v>0.0</v>
      </c>
      <c r="I91" s="30">
        <v>1307.0</v>
      </c>
      <c r="J91" s="63">
        <v>7905.0</v>
      </c>
    </row>
    <row r="92">
      <c r="A92" s="22"/>
      <c r="B92" s="71" t="s">
        <v>143</v>
      </c>
      <c r="C92" s="70" t="s">
        <v>35</v>
      </c>
      <c r="D92" s="42"/>
      <c r="E92" s="42">
        <v>9468.0</v>
      </c>
      <c r="F92" s="26">
        <v>0.0</v>
      </c>
      <c r="G92" s="26">
        <v>0.0</v>
      </c>
      <c r="H92" s="27">
        <v>0.0</v>
      </c>
      <c r="I92" s="30">
        <v>4417.0</v>
      </c>
      <c r="J92" s="63">
        <v>13885.0</v>
      </c>
    </row>
    <row r="93">
      <c r="A93" s="22"/>
      <c r="B93" s="71" t="s">
        <v>144</v>
      </c>
      <c r="C93" s="70" t="s">
        <v>36</v>
      </c>
      <c r="D93" s="42"/>
      <c r="E93" s="42">
        <v>9247.0</v>
      </c>
      <c r="F93" s="26">
        <v>0.0</v>
      </c>
      <c r="G93" s="26">
        <v>0.0</v>
      </c>
      <c r="H93" s="27">
        <v>0.0</v>
      </c>
      <c r="I93" s="30">
        <v>3556.0</v>
      </c>
      <c r="J93" s="63">
        <v>12803.0</v>
      </c>
    </row>
    <row r="94">
      <c r="A94" s="22"/>
      <c r="B94" s="71" t="s">
        <v>145</v>
      </c>
      <c r="C94" s="70" t="s">
        <v>30</v>
      </c>
      <c r="D94" s="42"/>
      <c r="E94" s="42">
        <v>6726.0</v>
      </c>
      <c r="F94" s="26">
        <v>0.0</v>
      </c>
      <c r="G94" s="26">
        <v>0.0</v>
      </c>
      <c r="H94" s="27">
        <v>0.0</v>
      </c>
      <c r="I94" s="30">
        <v>5160.0</v>
      </c>
      <c r="J94" s="63">
        <v>11886.0</v>
      </c>
    </row>
    <row r="95">
      <c r="A95" s="22"/>
      <c r="B95" s="71" t="s">
        <v>146</v>
      </c>
      <c r="C95" s="70" t="s">
        <v>29</v>
      </c>
      <c r="D95" s="42"/>
      <c r="E95" s="42">
        <v>12444.0</v>
      </c>
      <c r="F95" s="26">
        <v>0.0</v>
      </c>
      <c r="G95" s="26">
        <v>0.0</v>
      </c>
      <c r="H95" s="27">
        <v>0.0</v>
      </c>
      <c r="I95" s="30">
        <v>7487.0</v>
      </c>
      <c r="J95" s="63">
        <v>19931.0</v>
      </c>
    </row>
    <row r="96">
      <c r="A96" s="49"/>
      <c r="B96" s="78"/>
      <c r="C96" s="79"/>
      <c r="D96" s="54"/>
      <c r="E96" s="54">
        <f>SUM(E65:E95)</f>
        <v>374855</v>
      </c>
      <c r="F96" s="54">
        <v>0.0</v>
      </c>
      <c r="G96" s="54">
        <v>0.0</v>
      </c>
      <c r="H96" s="56"/>
      <c r="I96" s="59">
        <v>210665.0</v>
      </c>
      <c r="J96" s="75">
        <v>585520.0</v>
      </c>
    </row>
    <row r="97">
      <c r="A97" s="60" t="s">
        <v>149</v>
      </c>
      <c r="B97" s="69">
        <v>46024.0</v>
      </c>
      <c r="C97" s="70" t="s">
        <v>31</v>
      </c>
      <c r="D97" s="42"/>
      <c r="E97" s="41">
        <v>13906.0</v>
      </c>
      <c r="F97" s="26">
        <v>0.0</v>
      </c>
      <c r="G97" s="26">
        <v>0.0</v>
      </c>
      <c r="H97" s="27">
        <v>0.0</v>
      </c>
      <c r="I97" s="80">
        <v>6093.0</v>
      </c>
      <c r="J97" s="63">
        <v>19355.0</v>
      </c>
    </row>
    <row r="98">
      <c r="A98" s="22"/>
      <c r="B98" s="69">
        <v>46055.0</v>
      </c>
      <c r="C98" s="70" t="s">
        <v>32</v>
      </c>
      <c r="D98" s="42"/>
      <c r="E98" s="41">
        <v>10077.0</v>
      </c>
      <c r="F98" s="26">
        <v>0.0</v>
      </c>
      <c r="G98" s="26">
        <v>0.0</v>
      </c>
      <c r="H98" s="27">
        <v>0.0</v>
      </c>
      <c r="I98" s="80">
        <v>3270.0</v>
      </c>
      <c r="J98" s="63">
        <v>12878.0</v>
      </c>
    </row>
    <row r="99">
      <c r="A99" s="22"/>
      <c r="B99" s="69">
        <v>46083.0</v>
      </c>
      <c r="C99" s="70" t="s">
        <v>34</v>
      </c>
      <c r="D99" s="42"/>
      <c r="E99" s="41">
        <v>8537.0</v>
      </c>
      <c r="F99" s="26">
        <v>0.0</v>
      </c>
      <c r="G99" s="26">
        <v>0.0</v>
      </c>
      <c r="H99" s="27">
        <v>0.0</v>
      </c>
      <c r="I99" s="80">
        <v>5560.0</v>
      </c>
      <c r="J99" s="63">
        <v>13700.0</v>
      </c>
    </row>
    <row r="100">
      <c r="A100" s="22"/>
      <c r="B100" s="69">
        <v>46114.0</v>
      </c>
      <c r="C100" s="70" t="s">
        <v>35</v>
      </c>
      <c r="D100" s="42"/>
      <c r="E100" s="41">
        <v>7650.0</v>
      </c>
      <c r="F100" s="26">
        <v>0.0</v>
      </c>
      <c r="G100" s="26">
        <v>0.0</v>
      </c>
      <c r="H100" s="27">
        <v>0.0</v>
      </c>
      <c r="I100" s="80">
        <v>4596.0</v>
      </c>
      <c r="J100" s="63">
        <v>11907.0</v>
      </c>
    </row>
    <row r="101">
      <c r="A101" s="22"/>
      <c r="B101" s="69">
        <v>46144.0</v>
      </c>
      <c r="C101" s="70" t="s">
        <v>36</v>
      </c>
      <c r="D101" s="42"/>
      <c r="E101" s="41">
        <v>8624.0</v>
      </c>
      <c r="F101" s="26">
        <v>0.0</v>
      </c>
      <c r="G101" s="26">
        <v>0.0</v>
      </c>
      <c r="H101" s="27">
        <v>0.0</v>
      </c>
      <c r="I101" s="80">
        <v>7118.0</v>
      </c>
      <c r="J101" s="63">
        <v>15336.0</v>
      </c>
    </row>
    <row r="102">
      <c r="A102" s="22"/>
      <c r="B102" s="69">
        <v>46175.0</v>
      </c>
      <c r="C102" s="70" t="s">
        <v>30</v>
      </c>
      <c r="D102" s="42"/>
      <c r="E102" s="41">
        <v>8981.0</v>
      </c>
      <c r="F102" s="26">
        <v>0.0</v>
      </c>
      <c r="G102" s="26">
        <v>0.0</v>
      </c>
      <c r="H102" s="27">
        <v>0.0</v>
      </c>
      <c r="I102" s="80">
        <v>5597.0</v>
      </c>
      <c r="J102" s="63">
        <v>14162.0</v>
      </c>
    </row>
    <row r="103">
      <c r="A103" s="22"/>
      <c r="B103" s="69">
        <v>46205.0</v>
      </c>
      <c r="C103" s="70" t="s">
        <v>29</v>
      </c>
      <c r="D103" s="42"/>
      <c r="E103" s="41">
        <v>14169.0</v>
      </c>
      <c r="F103" s="26">
        <v>0.0</v>
      </c>
      <c r="G103" s="26">
        <v>0.0</v>
      </c>
      <c r="H103" s="27">
        <v>0.0</v>
      </c>
      <c r="I103" s="80">
        <v>9423.0</v>
      </c>
      <c r="J103" s="63">
        <v>22935.0</v>
      </c>
    </row>
    <row r="104">
      <c r="A104" s="22"/>
      <c r="B104" s="69">
        <v>46236.0</v>
      </c>
      <c r="C104" s="70" t="s">
        <v>31</v>
      </c>
      <c r="D104" s="42"/>
      <c r="E104" s="41">
        <v>15355.0</v>
      </c>
      <c r="F104" s="26">
        <v>0.0</v>
      </c>
      <c r="G104" s="26">
        <v>0.0</v>
      </c>
      <c r="H104" s="27">
        <v>0.0</v>
      </c>
      <c r="I104" s="80">
        <v>5908.0</v>
      </c>
      <c r="J104" s="63">
        <v>20549.0</v>
      </c>
    </row>
    <row r="105">
      <c r="A105" s="22"/>
      <c r="B105" s="69">
        <v>46267.0</v>
      </c>
      <c r="C105" s="70" t="s">
        <v>32</v>
      </c>
      <c r="D105" s="42"/>
      <c r="E105" s="41">
        <v>6605.0</v>
      </c>
      <c r="F105" s="26">
        <v>0.0</v>
      </c>
      <c r="G105" s="26">
        <v>0.0</v>
      </c>
      <c r="H105" s="27">
        <v>0.0</v>
      </c>
      <c r="I105" s="80">
        <v>5777.0</v>
      </c>
      <c r="J105" s="63">
        <v>12073.0</v>
      </c>
    </row>
    <row r="106">
      <c r="A106" s="22"/>
      <c r="B106" s="69">
        <v>46297.0</v>
      </c>
      <c r="C106" s="70" t="s">
        <v>34</v>
      </c>
      <c r="D106" s="42"/>
      <c r="E106" s="41">
        <v>9057.0</v>
      </c>
      <c r="F106" s="26">
        <v>0.0</v>
      </c>
      <c r="G106" s="26">
        <v>0.0</v>
      </c>
      <c r="H106" s="27">
        <v>0.0</v>
      </c>
      <c r="I106" s="80">
        <v>5131.0</v>
      </c>
      <c r="J106" s="63">
        <v>13776.0</v>
      </c>
    </row>
    <row r="107">
      <c r="A107" s="22"/>
      <c r="B107" s="69">
        <v>46328.0</v>
      </c>
      <c r="C107" s="70" t="s">
        <v>35</v>
      </c>
      <c r="D107" s="42"/>
      <c r="E107" s="41">
        <v>9170.0</v>
      </c>
      <c r="F107" s="26">
        <v>0.0</v>
      </c>
      <c r="G107" s="26">
        <v>0.0</v>
      </c>
      <c r="H107" s="27">
        <v>0.0</v>
      </c>
      <c r="I107" s="80">
        <v>5011.0</v>
      </c>
      <c r="J107" s="63">
        <v>13761.0</v>
      </c>
    </row>
    <row r="108">
      <c r="A108" s="22"/>
      <c r="B108" s="69">
        <v>46358.0</v>
      </c>
      <c r="C108" s="70" t="s">
        <v>36</v>
      </c>
      <c r="D108" s="42"/>
      <c r="E108" s="41">
        <v>11140.0</v>
      </c>
      <c r="F108" s="26">
        <v>0.0</v>
      </c>
      <c r="G108" s="26">
        <v>0.0</v>
      </c>
      <c r="H108" s="27">
        <v>0.0</v>
      </c>
      <c r="I108" s="80">
        <v>3202.0</v>
      </c>
      <c r="J108" s="63">
        <v>13806.0</v>
      </c>
    </row>
    <row r="109">
      <c r="A109" s="22"/>
      <c r="B109" s="71" t="s">
        <v>155</v>
      </c>
      <c r="C109" s="70" t="s">
        <v>30</v>
      </c>
      <c r="D109" s="42"/>
      <c r="E109" s="41">
        <v>13995.0</v>
      </c>
      <c r="F109" s="26">
        <v>0.0</v>
      </c>
      <c r="G109" s="26">
        <v>0.0</v>
      </c>
      <c r="H109" s="27">
        <v>0.0</v>
      </c>
      <c r="I109" s="80">
        <v>5470.0</v>
      </c>
      <c r="J109" s="63">
        <v>18817.0</v>
      </c>
    </row>
    <row r="110">
      <c r="A110" s="22"/>
      <c r="B110" s="71" t="s">
        <v>157</v>
      </c>
      <c r="C110" s="70" t="s">
        <v>29</v>
      </c>
      <c r="D110" s="42"/>
      <c r="E110" s="41">
        <v>16119.0</v>
      </c>
      <c r="F110" s="26">
        <v>0.0</v>
      </c>
      <c r="G110" s="26">
        <v>0.0</v>
      </c>
      <c r="H110" s="27">
        <v>0.0</v>
      </c>
      <c r="I110" s="80">
        <v>2497.0</v>
      </c>
      <c r="J110" s="63">
        <v>17874.0</v>
      </c>
    </row>
    <row r="111">
      <c r="A111" s="22"/>
      <c r="B111" s="71" t="s">
        <v>159</v>
      </c>
      <c r="C111" s="70" t="s">
        <v>31</v>
      </c>
      <c r="D111" s="42"/>
      <c r="E111" s="41">
        <v>8057.0</v>
      </c>
      <c r="F111" s="26">
        <v>0.0</v>
      </c>
      <c r="G111" s="26">
        <v>0.0</v>
      </c>
      <c r="H111" s="27">
        <v>0.0</v>
      </c>
      <c r="I111" s="80">
        <v>5601.0</v>
      </c>
      <c r="J111" s="63">
        <v>13282.0</v>
      </c>
    </row>
    <row r="112">
      <c r="A112" s="22"/>
      <c r="B112" s="71" t="s">
        <v>160</v>
      </c>
      <c r="C112" s="70" t="s">
        <v>32</v>
      </c>
      <c r="D112" s="42"/>
      <c r="E112" s="41">
        <v>11454.0</v>
      </c>
      <c r="F112" s="26">
        <v>0.0</v>
      </c>
      <c r="G112" s="26">
        <v>0.0</v>
      </c>
      <c r="H112" s="27">
        <v>0.0</v>
      </c>
      <c r="I112" s="80">
        <v>5600.0</v>
      </c>
      <c r="J112" s="63">
        <v>16501.0</v>
      </c>
    </row>
    <row r="113">
      <c r="A113" s="22"/>
      <c r="B113" s="71" t="s">
        <v>162</v>
      </c>
      <c r="C113" s="70" t="s">
        <v>34</v>
      </c>
      <c r="D113" s="42"/>
      <c r="E113" s="41">
        <v>9273.0</v>
      </c>
      <c r="F113" s="26">
        <v>0.0</v>
      </c>
      <c r="G113" s="26">
        <v>0.0</v>
      </c>
      <c r="H113" s="27">
        <v>0.0</v>
      </c>
      <c r="I113" s="80">
        <v>3509.0</v>
      </c>
      <c r="J113" s="63">
        <v>12357.0</v>
      </c>
    </row>
    <row r="114">
      <c r="A114" s="22"/>
      <c r="B114" s="71" t="s">
        <v>163</v>
      </c>
      <c r="C114" s="70" t="s">
        <v>35</v>
      </c>
      <c r="D114" s="42"/>
      <c r="E114" s="41">
        <v>6614.0</v>
      </c>
      <c r="F114" s="26">
        <v>0.0</v>
      </c>
      <c r="G114" s="26">
        <v>0.0</v>
      </c>
      <c r="H114" s="27">
        <v>0.0</v>
      </c>
      <c r="I114" s="80">
        <v>4378.0</v>
      </c>
      <c r="J114" s="63">
        <v>10682.0</v>
      </c>
    </row>
    <row r="115">
      <c r="A115" s="22"/>
      <c r="B115" s="71" t="s">
        <v>164</v>
      </c>
      <c r="C115" s="70" t="s">
        <v>36</v>
      </c>
      <c r="D115" s="42"/>
      <c r="E115" s="41">
        <v>8127.0</v>
      </c>
      <c r="F115" s="26">
        <v>0.0</v>
      </c>
      <c r="G115" s="26">
        <v>0.0</v>
      </c>
      <c r="H115" s="27">
        <v>0.0</v>
      </c>
      <c r="I115" s="80">
        <v>6301.0</v>
      </c>
      <c r="J115" s="63">
        <v>14045.0</v>
      </c>
    </row>
    <row r="116">
      <c r="A116" s="22"/>
      <c r="B116" s="71" t="s">
        <v>165</v>
      </c>
      <c r="C116" s="70" t="s">
        <v>30</v>
      </c>
      <c r="D116" s="42"/>
      <c r="E116" s="41">
        <v>8845.0</v>
      </c>
      <c r="F116" s="26">
        <v>0.0</v>
      </c>
      <c r="G116" s="26">
        <v>0.0</v>
      </c>
      <c r="H116" s="27">
        <v>0.0</v>
      </c>
      <c r="I116" s="80">
        <v>5999.0</v>
      </c>
      <c r="J116" s="63">
        <v>14434.0</v>
      </c>
    </row>
    <row r="117">
      <c r="A117" s="22"/>
      <c r="B117" s="71" t="s">
        <v>166</v>
      </c>
      <c r="C117" s="70" t="s">
        <v>29</v>
      </c>
      <c r="D117" s="42"/>
      <c r="E117" s="41">
        <v>11040.0</v>
      </c>
      <c r="F117" s="26">
        <v>0.0</v>
      </c>
      <c r="G117" s="26">
        <v>0.0</v>
      </c>
      <c r="H117" s="27">
        <v>0.0</v>
      </c>
      <c r="I117" s="80">
        <v>8414.0</v>
      </c>
      <c r="J117" s="63">
        <v>18937.0</v>
      </c>
    </row>
    <row r="118">
      <c r="A118" s="22"/>
      <c r="B118" s="71" t="s">
        <v>167</v>
      </c>
      <c r="C118" s="70" t="s">
        <v>31</v>
      </c>
      <c r="D118" s="42"/>
      <c r="E118" s="41">
        <v>16484.0</v>
      </c>
      <c r="F118" s="26">
        <v>0.0</v>
      </c>
      <c r="G118" s="26">
        <v>0.0</v>
      </c>
      <c r="H118" s="27">
        <v>0.0</v>
      </c>
      <c r="I118" s="80">
        <v>4288.0</v>
      </c>
      <c r="J118" s="63">
        <v>19997.0</v>
      </c>
    </row>
    <row r="119">
      <c r="A119" s="22"/>
      <c r="B119" s="71" t="s">
        <v>168</v>
      </c>
      <c r="C119" s="70" t="s">
        <v>32</v>
      </c>
      <c r="D119" s="42"/>
      <c r="E119" s="41">
        <v>8652.0</v>
      </c>
      <c r="F119" s="26">
        <v>0.0</v>
      </c>
      <c r="G119" s="26">
        <v>0.0</v>
      </c>
      <c r="H119" s="27">
        <v>0.0</v>
      </c>
      <c r="I119" s="80">
        <v>5064.0</v>
      </c>
      <c r="J119" s="63">
        <v>13322.0</v>
      </c>
    </row>
    <row r="120">
      <c r="A120" s="22"/>
      <c r="B120" s="71" t="s">
        <v>169</v>
      </c>
      <c r="C120" s="70" t="s">
        <v>34</v>
      </c>
      <c r="D120" s="42"/>
      <c r="E120" s="41">
        <v>10016.0</v>
      </c>
      <c r="F120" s="26">
        <v>0.0</v>
      </c>
      <c r="G120" s="26">
        <v>0.0</v>
      </c>
      <c r="H120" s="27">
        <v>0.0</v>
      </c>
      <c r="I120" s="80">
        <v>3716.0</v>
      </c>
      <c r="J120" s="63">
        <v>13270.0</v>
      </c>
    </row>
    <row r="121">
      <c r="A121" s="22"/>
      <c r="B121" s="71" t="s">
        <v>170</v>
      </c>
      <c r="C121" s="70" t="s">
        <v>35</v>
      </c>
      <c r="D121" s="42"/>
      <c r="E121" s="41">
        <v>7839.0</v>
      </c>
      <c r="F121" s="26">
        <v>0.0</v>
      </c>
      <c r="G121" s="26">
        <v>0.0</v>
      </c>
      <c r="H121" s="27">
        <v>0.0</v>
      </c>
      <c r="I121" s="80">
        <v>3569.0</v>
      </c>
      <c r="J121" s="63">
        <v>11046.0</v>
      </c>
    </row>
    <row r="122">
      <c r="A122" s="22"/>
      <c r="B122" s="71" t="s">
        <v>171</v>
      </c>
      <c r="C122" s="70" t="s">
        <v>36</v>
      </c>
      <c r="D122" s="42"/>
      <c r="E122" s="41">
        <v>5438.0</v>
      </c>
      <c r="F122" s="26">
        <v>0.0</v>
      </c>
      <c r="G122" s="26">
        <v>0.0</v>
      </c>
      <c r="H122" s="27">
        <v>0.0</v>
      </c>
      <c r="I122" s="80">
        <v>3340.0</v>
      </c>
      <c r="J122" s="63">
        <v>8541.0</v>
      </c>
    </row>
    <row r="123">
      <c r="A123" s="22"/>
      <c r="B123" s="71" t="s">
        <v>172</v>
      </c>
      <c r="C123" s="70" t="s">
        <v>30</v>
      </c>
      <c r="D123" s="42"/>
      <c r="E123" s="41">
        <v>10786.0</v>
      </c>
      <c r="F123" s="26">
        <v>0.0</v>
      </c>
      <c r="G123" s="26">
        <v>0.0</v>
      </c>
      <c r="H123" s="27">
        <v>0.0</v>
      </c>
      <c r="I123" s="80">
        <v>8137.0</v>
      </c>
      <c r="J123" s="63">
        <v>18425.0</v>
      </c>
    </row>
    <row r="124">
      <c r="A124" s="22"/>
      <c r="B124" s="71" t="s">
        <v>173</v>
      </c>
      <c r="C124" s="70" t="s">
        <v>29</v>
      </c>
      <c r="D124" s="42"/>
      <c r="E124" s="41">
        <v>14620.0</v>
      </c>
      <c r="F124" s="26">
        <v>0.0</v>
      </c>
      <c r="G124" s="26">
        <v>0.0</v>
      </c>
      <c r="H124" s="27">
        <v>0.0</v>
      </c>
      <c r="I124" s="80">
        <v>5092.0</v>
      </c>
      <c r="J124" s="63">
        <v>19031.0</v>
      </c>
    </row>
    <row r="125">
      <c r="A125" s="49"/>
      <c r="B125" s="81"/>
      <c r="C125" s="82"/>
      <c r="D125" s="54"/>
      <c r="E125" s="54">
        <f>SUM(E97:E124)</f>
        <v>290630</v>
      </c>
      <c r="F125" s="54">
        <v>0.0</v>
      </c>
      <c r="G125" s="54">
        <v>0.0</v>
      </c>
      <c r="H125" s="54">
        <v>232303.3</v>
      </c>
      <c r="I125" s="59">
        <v>147661.0</v>
      </c>
      <c r="J125" s="75">
        <v>657102.3</v>
      </c>
    </row>
    <row r="126">
      <c r="A126" s="60" t="s">
        <v>175</v>
      </c>
      <c r="B126" s="69">
        <v>46025.0</v>
      </c>
      <c r="C126" s="70" t="s">
        <v>31</v>
      </c>
      <c r="D126" s="42"/>
      <c r="E126" s="42">
        <v>12103.0</v>
      </c>
      <c r="F126" s="83">
        <v>0.0</v>
      </c>
      <c r="G126" s="84"/>
      <c r="H126" s="27">
        <v>0.0</v>
      </c>
      <c r="I126" s="80">
        <v>5694.0</v>
      </c>
      <c r="J126" s="63">
        <v>17236.0</v>
      </c>
    </row>
    <row r="127">
      <c r="A127" s="22"/>
      <c r="B127" s="69">
        <v>46056.0</v>
      </c>
      <c r="C127" s="70" t="s">
        <v>32</v>
      </c>
      <c r="D127" s="42"/>
      <c r="E127" s="42">
        <v>7722.0</v>
      </c>
      <c r="F127" s="85">
        <v>0.0</v>
      </c>
      <c r="G127" s="86"/>
      <c r="H127" s="27">
        <v>0.0</v>
      </c>
      <c r="I127" s="80">
        <v>3875.0</v>
      </c>
      <c r="J127" s="63">
        <v>11246.0</v>
      </c>
    </row>
    <row r="128">
      <c r="A128" s="22"/>
      <c r="B128" s="69">
        <v>46084.0</v>
      </c>
      <c r="C128" s="70" t="s">
        <v>34</v>
      </c>
      <c r="D128" s="42"/>
      <c r="E128" s="42">
        <v>8625.0</v>
      </c>
      <c r="F128" s="85">
        <v>0.0</v>
      </c>
      <c r="G128" s="86"/>
      <c r="H128" s="27">
        <v>0.0</v>
      </c>
      <c r="I128" s="80">
        <v>6157.0</v>
      </c>
      <c r="J128" s="63">
        <v>14386.0</v>
      </c>
    </row>
    <row r="129">
      <c r="A129" s="22"/>
      <c r="B129" s="69">
        <v>46115.0</v>
      </c>
      <c r="C129" s="70" t="s">
        <v>35</v>
      </c>
      <c r="D129" s="42"/>
      <c r="E129" s="42">
        <v>0.0</v>
      </c>
      <c r="F129" s="85">
        <v>0.0</v>
      </c>
      <c r="G129" s="86"/>
      <c r="H129" s="27">
        <v>0.0</v>
      </c>
      <c r="I129" s="80">
        <v>0.0</v>
      </c>
      <c r="J129" s="63">
        <v>0.0</v>
      </c>
    </row>
    <row r="130">
      <c r="A130" s="22"/>
      <c r="B130" s="69">
        <v>46145.0</v>
      </c>
      <c r="C130" s="70" t="s">
        <v>36</v>
      </c>
      <c r="D130" s="42"/>
      <c r="E130" s="42">
        <v>8936.0</v>
      </c>
      <c r="F130" s="85">
        <v>0.0</v>
      </c>
      <c r="G130" s="86"/>
      <c r="H130" s="27">
        <v>0.0</v>
      </c>
      <c r="I130" s="80">
        <v>3100.0</v>
      </c>
      <c r="J130" s="63">
        <v>11696.0</v>
      </c>
    </row>
    <row r="131">
      <c r="A131" s="22"/>
      <c r="B131" s="69">
        <v>46176.0</v>
      </c>
      <c r="C131" s="70" t="s">
        <v>30</v>
      </c>
      <c r="D131" s="42"/>
      <c r="E131" s="42">
        <v>10349.0</v>
      </c>
      <c r="F131" s="89">
        <v>2045.0</v>
      </c>
      <c r="G131" s="86"/>
      <c r="H131" s="27">
        <v>0.0</v>
      </c>
      <c r="I131" s="80">
        <v>6065.0</v>
      </c>
      <c r="J131" s="63">
        <v>17982.0</v>
      </c>
    </row>
    <row r="132">
      <c r="A132" s="22"/>
      <c r="B132" s="69">
        <v>46206.0</v>
      </c>
      <c r="C132" s="70" t="s">
        <v>29</v>
      </c>
      <c r="D132" s="42"/>
      <c r="E132" s="42">
        <v>10432.0</v>
      </c>
      <c r="F132" s="89">
        <v>4150.0</v>
      </c>
      <c r="G132" s="86"/>
      <c r="H132" s="27">
        <v>0.0</v>
      </c>
      <c r="I132" s="80">
        <v>6797.0</v>
      </c>
      <c r="J132" s="63">
        <v>20899.0</v>
      </c>
    </row>
    <row r="133">
      <c r="A133" s="22"/>
      <c r="B133" s="69">
        <v>46237.0</v>
      </c>
      <c r="C133" s="70" t="s">
        <v>31</v>
      </c>
      <c r="D133" s="42"/>
      <c r="E133" s="42">
        <v>8593.0</v>
      </c>
      <c r="F133" s="89">
        <v>3775.0</v>
      </c>
      <c r="G133" s="86"/>
      <c r="H133" s="27">
        <v>0.0</v>
      </c>
      <c r="I133" s="80">
        <v>5180.0</v>
      </c>
      <c r="J133" s="63">
        <v>17144.0</v>
      </c>
    </row>
    <row r="134">
      <c r="A134" s="22"/>
      <c r="B134" s="69">
        <v>46268.0</v>
      </c>
      <c r="C134" s="70" t="s">
        <v>32</v>
      </c>
      <c r="D134" s="42"/>
      <c r="E134" s="42">
        <v>5375.0</v>
      </c>
      <c r="F134" s="89">
        <v>5740.0</v>
      </c>
      <c r="G134" s="86"/>
      <c r="H134" s="27">
        <v>0.0</v>
      </c>
      <c r="I134" s="80">
        <v>0.0</v>
      </c>
      <c r="J134" s="63">
        <v>10875.0</v>
      </c>
    </row>
    <row r="135">
      <c r="A135" s="22"/>
      <c r="B135" s="69">
        <v>46298.0</v>
      </c>
      <c r="C135" s="70" t="s">
        <v>34</v>
      </c>
      <c r="D135" s="42"/>
      <c r="E135" s="42">
        <v>8329.0</v>
      </c>
      <c r="F135" s="89">
        <v>3680.0</v>
      </c>
      <c r="G135" s="86"/>
      <c r="H135" s="27">
        <v>0.0</v>
      </c>
      <c r="I135" s="80">
        <v>6940.0</v>
      </c>
      <c r="J135" s="63">
        <v>18566.0</v>
      </c>
    </row>
    <row r="136">
      <c r="A136" s="22"/>
      <c r="B136" s="69">
        <v>46329.0</v>
      </c>
      <c r="C136" s="70" t="s">
        <v>35</v>
      </c>
      <c r="D136" s="42"/>
      <c r="E136" s="42">
        <v>8082.0</v>
      </c>
      <c r="F136" s="89">
        <v>2740.0</v>
      </c>
      <c r="G136" s="86"/>
      <c r="H136" s="27">
        <v>0.0</v>
      </c>
      <c r="I136" s="80">
        <v>4510.0</v>
      </c>
      <c r="J136" s="63">
        <v>14959.0</v>
      </c>
    </row>
    <row r="137">
      <c r="A137" s="22"/>
      <c r="B137" s="69">
        <v>46359.0</v>
      </c>
      <c r="C137" s="70" t="s">
        <v>36</v>
      </c>
      <c r="D137" s="42"/>
      <c r="E137" s="42">
        <v>5672.0</v>
      </c>
      <c r="F137" s="89">
        <v>1250.0</v>
      </c>
      <c r="G137" s="86"/>
      <c r="H137" s="27">
        <v>0.0</v>
      </c>
      <c r="I137" s="80">
        <v>4716.0</v>
      </c>
      <c r="J137" s="63">
        <v>11380.0</v>
      </c>
    </row>
    <row r="138">
      <c r="A138" s="22"/>
      <c r="B138" s="71" t="s">
        <v>177</v>
      </c>
      <c r="C138" s="70" t="s">
        <v>30</v>
      </c>
      <c r="D138" s="42"/>
      <c r="E138" s="42">
        <v>9438.0</v>
      </c>
      <c r="F138" s="89">
        <v>1960.0</v>
      </c>
      <c r="G138" s="86"/>
      <c r="H138" s="27">
        <v>0.0</v>
      </c>
      <c r="I138" s="80">
        <v>3608.0</v>
      </c>
      <c r="J138" s="63">
        <v>14568.0</v>
      </c>
    </row>
    <row r="139">
      <c r="A139" s="22"/>
      <c r="B139" s="71" t="s">
        <v>179</v>
      </c>
      <c r="C139" s="70" t="s">
        <v>29</v>
      </c>
      <c r="D139" s="42"/>
      <c r="E139" s="42">
        <v>11850.0</v>
      </c>
      <c r="F139" s="89">
        <v>6440.0</v>
      </c>
      <c r="G139" s="86"/>
      <c r="H139" s="27">
        <v>0.0</v>
      </c>
      <c r="I139" s="80">
        <v>8849.0</v>
      </c>
      <c r="J139" s="63">
        <v>26588.0</v>
      </c>
    </row>
    <row r="140">
      <c r="A140" s="22"/>
      <c r="B140" s="71" t="s">
        <v>181</v>
      </c>
      <c r="C140" s="70" t="s">
        <v>31</v>
      </c>
      <c r="D140" s="42"/>
      <c r="E140" s="42">
        <v>18585.0</v>
      </c>
      <c r="F140" s="89">
        <v>6460.0</v>
      </c>
      <c r="G140" s="86"/>
      <c r="H140" s="27">
        <v>0.0</v>
      </c>
      <c r="I140" s="80">
        <v>8554.0</v>
      </c>
      <c r="J140" s="63">
        <v>32734.0</v>
      </c>
    </row>
    <row r="141">
      <c r="A141" s="22"/>
      <c r="B141" s="71" t="s">
        <v>183</v>
      </c>
      <c r="C141" s="70" t="s">
        <v>32</v>
      </c>
      <c r="D141" s="42"/>
      <c r="E141" s="42">
        <v>10013.0</v>
      </c>
      <c r="F141" s="89">
        <v>2325.0</v>
      </c>
      <c r="G141" s="86"/>
      <c r="H141" s="27">
        <v>0.0</v>
      </c>
      <c r="I141" s="30">
        <v>5689.0</v>
      </c>
      <c r="J141" s="63">
        <v>17567.0</v>
      </c>
    </row>
    <row r="142">
      <c r="A142" s="22"/>
      <c r="B142" s="71" t="s">
        <v>185</v>
      </c>
      <c r="C142" s="70" t="s">
        <v>34</v>
      </c>
      <c r="D142" s="42"/>
      <c r="E142" s="42">
        <v>10491.0</v>
      </c>
      <c r="F142" s="89">
        <v>2490.0</v>
      </c>
      <c r="G142" s="86"/>
      <c r="H142" s="27">
        <v>0.0</v>
      </c>
      <c r="I142" s="30">
        <v>5400.0</v>
      </c>
      <c r="J142" s="63">
        <v>17851.0</v>
      </c>
    </row>
    <row r="143">
      <c r="A143" s="22"/>
      <c r="B143" s="71" t="s">
        <v>187</v>
      </c>
      <c r="C143" s="70" t="s">
        <v>35</v>
      </c>
      <c r="D143" s="42"/>
      <c r="E143" s="42">
        <v>9962.0</v>
      </c>
      <c r="F143" s="89">
        <v>1480.0</v>
      </c>
      <c r="G143" s="86"/>
      <c r="H143" s="27">
        <v>0.0</v>
      </c>
      <c r="I143" s="30">
        <v>3404.0</v>
      </c>
      <c r="J143" s="63">
        <v>14381.0</v>
      </c>
    </row>
    <row r="144">
      <c r="A144" s="22"/>
      <c r="B144" s="71" t="s">
        <v>189</v>
      </c>
      <c r="C144" s="70" t="s">
        <v>36</v>
      </c>
      <c r="D144" s="42"/>
      <c r="E144" s="42">
        <v>4566.0</v>
      </c>
      <c r="F144" s="89">
        <v>2255.0</v>
      </c>
      <c r="G144" s="86"/>
      <c r="H144" s="27">
        <v>0.0</v>
      </c>
      <c r="I144" s="30">
        <v>5537.0</v>
      </c>
      <c r="J144" s="63">
        <v>12145.0</v>
      </c>
    </row>
    <row r="145">
      <c r="A145" s="22"/>
      <c r="B145" s="71" t="s">
        <v>191</v>
      </c>
      <c r="C145" s="70" t="s">
        <v>30</v>
      </c>
      <c r="D145" s="42"/>
      <c r="E145" s="42">
        <v>7151.0</v>
      </c>
      <c r="F145" s="89">
        <v>3975.0</v>
      </c>
      <c r="G145" s="86"/>
      <c r="H145" s="27">
        <v>0.0</v>
      </c>
      <c r="I145" s="30">
        <v>6520.0</v>
      </c>
      <c r="J145" s="63">
        <v>16974.0</v>
      </c>
    </row>
    <row r="146">
      <c r="A146" s="22"/>
      <c r="B146" s="71" t="s">
        <v>193</v>
      </c>
      <c r="C146" s="70" t="s">
        <v>29</v>
      </c>
      <c r="D146" s="42"/>
      <c r="E146" s="42">
        <v>16182.0</v>
      </c>
      <c r="F146" s="89">
        <v>5785.0</v>
      </c>
      <c r="G146" s="86"/>
      <c r="H146" s="27">
        <v>0.0</v>
      </c>
      <c r="I146" s="30">
        <v>5756.0</v>
      </c>
      <c r="J146" s="63">
        <v>26968.0</v>
      </c>
    </row>
    <row r="147">
      <c r="A147" s="22"/>
      <c r="B147" s="71" t="s">
        <v>195</v>
      </c>
      <c r="C147" s="70" t="s">
        <v>31</v>
      </c>
      <c r="D147" s="42"/>
      <c r="E147" s="42">
        <v>10331.0</v>
      </c>
      <c r="F147" s="89">
        <v>3745.0</v>
      </c>
      <c r="G147" s="86"/>
      <c r="H147" s="27">
        <v>0.0</v>
      </c>
      <c r="I147" s="30">
        <v>6449.0</v>
      </c>
      <c r="J147" s="63">
        <v>20054.0</v>
      </c>
    </row>
    <row r="148">
      <c r="A148" s="22"/>
      <c r="B148" s="71" t="s">
        <v>197</v>
      </c>
      <c r="C148" s="70" t="s">
        <v>32</v>
      </c>
      <c r="D148" s="42"/>
      <c r="E148" s="42">
        <v>7311.0</v>
      </c>
      <c r="F148" s="89">
        <v>1800.0</v>
      </c>
      <c r="G148" s="86"/>
      <c r="H148" s="27">
        <v>0.0</v>
      </c>
      <c r="I148" s="30">
        <v>8131.0</v>
      </c>
      <c r="J148" s="63">
        <v>17081.0</v>
      </c>
    </row>
    <row r="149">
      <c r="A149" s="22"/>
      <c r="B149" s="71" t="s">
        <v>200</v>
      </c>
      <c r="C149" s="70" t="s">
        <v>34</v>
      </c>
      <c r="D149" s="42"/>
      <c r="E149" s="42">
        <v>7289.0</v>
      </c>
      <c r="F149" s="89">
        <v>1940.0</v>
      </c>
      <c r="G149" s="86"/>
      <c r="H149" s="27">
        <v>0.0</v>
      </c>
      <c r="I149" s="30">
        <v>5964.0</v>
      </c>
      <c r="J149" s="63">
        <v>14857.0</v>
      </c>
    </row>
    <row r="150">
      <c r="A150" s="22"/>
      <c r="B150" s="71" t="s">
        <v>201</v>
      </c>
      <c r="C150" s="70" t="s">
        <v>35</v>
      </c>
      <c r="D150" s="42"/>
      <c r="E150" s="42">
        <v>5824.0</v>
      </c>
      <c r="F150" s="89">
        <v>4975.0</v>
      </c>
      <c r="G150" s="86"/>
      <c r="H150" s="27">
        <v>0.0</v>
      </c>
      <c r="I150" s="30">
        <v>2864.0</v>
      </c>
      <c r="J150" s="63">
        <v>13390.0</v>
      </c>
    </row>
    <row r="151">
      <c r="A151" s="22"/>
      <c r="B151" s="71" t="s">
        <v>204</v>
      </c>
      <c r="C151" s="70" t="s">
        <v>36</v>
      </c>
      <c r="D151" s="42"/>
      <c r="E151" s="42">
        <v>8745.0</v>
      </c>
      <c r="F151" s="89">
        <v>2855.0</v>
      </c>
      <c r="G151" s="86"/>
      <c r="H151" s="27">
        <v>0.0</v>
      </c>
      <c r="I151" s="30">
        <v>6620.0</v>
      </c>
      <c r="J151" s="63">
        <v>18220.0</v>
      </c>
    </row>
    <row r="152">
      <c r="A152" s="22"/>
      <c r="B152" s="71" t="s">
        <v>205</v>
      </c>
      <c r="C152" s="70" t="s">
        <v>30</v>
      </c>
      <c r="D152" s="42"/>
      <c r="E152" s="42">
        <v>16688.0</v>
      </c>
      <c r="F152" s="89">
        <v>6115.0</v>
      </c>
      <c r="G152" s="86"/>
      <c r="H152" s="27">
        <v>0.0</v>
      </c>
      <c r="I152" s="30">
        <v>9091.0</v>
      </c>
      <c r="J152" s="63">
        <v>31116.0</v>
      </c>
    </row>
    <row r="153">
      <c r="A153" s="22"/>
      <c r="B153" s="71" t="s">
        <v>206</v>
      </c>
      <c r="C153" s="70" t="s">
        <v>29</v>
      </c>
      <c r="D153" s="42"/>
      <c r="E153" s="42">
        <v>15349.0</v>
      </c>
      <c r="F153" s="89">
        <v>5190.0</v>
      </c>
      <c r="G153" s="86"/>
      <c r="H153" s="27">
        <v>0.0</v>
      </c>
      <c r="I153" s="30">
        <v>5811.0</v>
      </c>
      <c r="J153" s="63">
        <v>26310.0</v>
      </c>
    </row>
    <row r="154">
      <c r="A154" s="22"/>
      <c r="B154" s="71" t="s">
        <v>207</v>
      </c>
      <c r="C154" s="70" t="s">
        <v>31</v>
      </c>
      <c r="D154" s="42"/>
      <c r="E154" s="42">
        <v>12515.0</v>
      </c>
      <c r="F154" s="89">
        <v>7100.0</v>
      </c>
      <c r="G154" s="86"/>
      <c r="H154" s="27">
        <v>0.0</v>
      </c>
      <c r="I154" s="30">
        <v>8329.0</v>
      </c>
      <c r="J154" s="63">
        <v>27944.0</v>
      </c>
    </row>
    <row r="155">
      <c r="A155" s="22"/>
      <c r="B155" s="71" t="s">
        <v>208</v>
      </c>
      <c r="C155" s="70" t="s">
        <v>32</v>
      </c>
      <c r="D155" s="42"/>
      <c r="E155" s="42">
        <v>11435.0</v>
      </c>
      <c r="F155" s="89">
        <v>3728.0</v>
      </c>
      <c r="G155" s="86"/>
      <c r="H155" s="27">
        <v>0.0</v>
      </c>
      <c r="I155" s="30">
        <v>4997.0</v>
      </c>
      <c r="J155" s="63">
        <v>19636.0</v>
      </c>
    </row>
    <row r="156">
      <c r="A156" s="22"/>
      <c r="B156" s="71" t="s">
        <v>209</v>
      </c>
      <c r="C156" s="70" t="s">
        <v>34</v>
      </c>
      <c r="D156" s="42"/>
      <c r="E156" s="42">
        <v>13138.0</v>
      </c>
      <c r="F156" s="90"/>
      <c r="G156" s="86"/>
      <c r="H156" s="91"/>
      <c r="I156" s="92"/>
      <c r="J156" s="63">
        <v>12363.0</v>
      </c>
    </row>
    <row r="157">
      <c r="A157" s="49"/>
      <c r="B157" s="81"/>
      <c r="C157" s="82"/>
      <c r="D157" s="93"/>
      <c r="E157" s="93">
        <f>SUM(E126:E156)</f>
        <v>301081</v>
      </c>
      <c r="F157" s="94">
        <v>93998.0</v>
      </c>
      <c r="G157" s="95"/>
      <c r="H157" s="54">
        <v>0.0</v>
      </c>
      <c r="I157" s="59">
        <v>164607.0</v>
      </c>
      <c r="J157" s="75">
        <v>547116.0</v>
      </c>
    </row>
    <row r="158">
      <c r="A158" s="60" t="s">
        <v>210</v>
      </c>
      <c r="B158" s="69">
        <v>46026.0</v>
      </c>
      <c r="C158" s="70" t="s">
        <v>35</v>
      </c>
      <c r="D158" s="42"/>
      <c r="E158" s="41">
        <v>6787.0</v>
      </c>
      <c r="F158" s="96">
        <v>3154.0</v>
      </c>
      <c r="G158" s="84"/>
      <c r="H158" s="97">
        <v>0.0</v>
      </c>
      <c r="I158" s="30">
        <v>4610.0</v>
      </c>
      <c r="J158" s="63">
        <v>14551.0</v>
      </c>
    </row>
    <row r="159">
      <c r="A159" s="22"/>
      <c r="B159" s="69">
        <v>46057.0</v>
      </c>
      <c r="C159" s="70" t="s">
        <v>36</v>
      </c>
      <c r="D159" s="44"/>
      <c r="E159" s="41">
        <v>9561.0</v>
      </c>
      <c r="F159" s="89">
        <v>5655.0</v>
      </c>
      <c r="G159" s="86"/>
      <c r="H159" s="97">
        <v>0.0</v>
      </c>
      <c r="I159" s="30">
        <v>6356.0</v>
      </c>
      <c r="J159" s="63">
        <v>12011.0</v>
      </c>
    </row>
    <row r="160">
      <c r="A160" s="22"/>
      <c r="B160" s="69">
        <v>46085.0</v>
      </c>
      <c r="C160" s="70" t="s">
        <v>30</v>
      </c>
      <c r="D160" s="42"/>
      <c r="E160" s="41">
        <v>12245.0</v>
      </c>
      <c r="F160" s="89">
        <v>6850.0</v>
      </c>
      <c r="G160" s="86"/>
      <c r="H160" s="97">
        <v>0.0</v>
      </c>
      <c r="I160" s="30">
        <v>6562.0</v>
      </c>
      <c r="J160" s="63">
        <v>25206.0</v>
      </c>
    </row>
    <row r="161">
      <c r="A161" s="22"/>
      <c r="B161" s="69">
        <v>46116.0</v>
      </c>
      <c r="C161" s="70" t="s">
        <v>29</v>
      </c>
      <c r="D161" s="42"/>
      <c r="E161" s="41">
        <v>17045.0</v>
      </c>
      <c r="F161" s="89">
        <v>8164.0</v>
      </c>
      <c r="G161" s="86"/>
      <c r="H161" s="97">
        <v>0.0</v>
      </c>
      <c r="I161" s="30">
        <v>6355.0</v>
      </c>
      <c r="J161" s="63">
        <v>31155.0</v>
      </c>
    </row>
    <row r="162">
      <c r="A162" s="22"/>
      <c r="B162" s="69">
        <v>46146.0</v>
      </c>
      <c r="C162" s="70" t="s">
        <v>31</v>
      </c>
      <c r="D162" s="44"/>
      <c r="E162" s="41">
        <v>15743.0</v>
      </c>
      <c r="F162" s="89">
        <v>8575.0</v>
      </c>
      <c r="G162" s="86"/>
      <c r="H162" s="97">
        <v>0.0</v>
      </c>
      <c r="I162" s="30">
        <v>5728.0</v>
      </c>
      <c r="J162" s="63">
        <v>14303.0</v>
      </c>
    </row>
    <row r="163">
      <c r="A163" s="22"/>
      <c r="B163" s="69">
        <v>46177.0</v>
      </c>
      <c r="C163" s="70" t="s">
        <v>32</v>
      </c>
      <c r="D163" s="44"/>
      <c r="E163" s="41">
        <v>8484.0</v>
      </c>
      <c r="F163" s="89">
        <v>5410.0</v>
      </c>
      <c r="G163" s="86"/>
      <c r="H163" s="97">
        <v>0.0</v>
      </c>
      <c r="I163" s="30">
        <v>4870.92</v>
      </c>
      <c r="J163" s="63">
        <v>10280.92</v>
      </c>
    </row>
    <row r="164">
      <c r="A164" s="22"/>
      <c r="B164" s="69">
        <v>46207.0</v>
      </c>
      <c r="C164" s="70" t="s">
        <v>34</v>
      </c>
      <c r="D164" s="44"/>
      <c r="E164" s="41">
        <v>8921.0</v>
      </c>
      <c r="F164" s="89">
        <v>3160.0</v>
      </c>
      <c r="G164" s="86"/>
      <c r="H164" s="97">
        <v>0.0</v>
      </c>
      <c r="I164" s="30">
        <v>6486.0</v>
      </c>
      <c r="J164" s="63">
        <v>9646.0</v>
      </c>
    </row>
    <row r="165">
      <c r="A165" s="22"/>
      <c r="B165" s="69">
        <v>46238.0</v>
      </c>
      <c r="C165" s="70" t="s">
        <v>35</v>
      </c>
      <c r="D165" s="44"/>
      <c r="E165" s="41">
        <v>12884.0</v>
      </c>
      <c r="F165" s="89">
        <v>11315.0</v>
      </c>
      <c r="G165" s="86"/>
      <c r="H165" s="97">
        <v>0.0</v>
      </c>
      <c r="I165" s="30">
        <v>6134.3</v>
      </c>
      <c r="J165" s="63">
        <v>17449.3</v>
      </c>
    </row>
    <row r="166">
      <c r="A166" s="22"/>
      <c r="B166" s="69">
        <v>46269.0</v>
      </c>
      <c r="C166" s="70" t="s">
        <v>36</v>
      </c>
      <c r="D166" s="42"/>
      <c r="E166" s="41">
        <v>7398.0</v>
      </c>
      <c r="F166" s="89">
        <v>8005.0</v>
      </c>
      <c r="G166" s="86"/>
      <c r="H166" s="97">
        <v>0.0</v>
      </c>
      <c r="I166" s="30">
        <v>6175.0</v>
      </c>
      <c r="J166" s="63">
        <v>21244.0</v>
      </c>
    </row>
    <row r="167">
      <c r="A167" s="22"/>
      <c r="B167" s="69">
        <v>46299.0</v>
      </c>
      <c r="C167" s="70" t="s">
        <v>30</v>
      </c>
      <c r="D167" s="44"/>
      <c r="E167" s="41">
        <v>10473.0</v>
      </c>
      <c r="F167" s="98">
        <v>7730.0</v>
      </c>
      <c r="G167" s="99"/>
      <c r="H167" s="100">
        <v>0.0</v>
      </c>
      <c r="I167" s="30">
        <v>4066.0</v>
      </c>
      <c r="J167" s="63">
        <v>11796.0</v>
      </c>
    </row>
    <row r="168">
      <c r="A168" s="22"/>
      <c r="B168" s="69">
        <v>46330.0</v>
      </c>
      <c r="C168" s="70" t="s">
        <v>29</v>
      </c>
      <c r="D168" s="44"/>
      <c r="E168" s="41">
        <v>16648.0</v>
      </c>
      <c r="F168" s="98">
        <v>6005.0</v>
      </c>
      <c r="G168" s="101"/>
      <c r="H168" s="103">
        <v>2753.0</v>
      </c>
      <c r="I168" s="30">
        <v>6877.0</v>
      </c>
      <c r="J168" s="63">
        <v>15635.1</v>
      </c>
    </row>
    <row r="169">
      <c r="A169" s="22"/>
      <c r="B169" s="69">
        <v>46360.0</v>
      </c>
      <c r="C169" s="70" t="s">
        <v>31</v>
      </c>
      <c r="D169" s="44"/>
      <c r="E169" s="41">
        <v>14041.0</v>
      </c>
      <c r="F169" s="89">
        <v>8665.0</v>
      </c>
      <c r="G169" s="105"/>
      <c r="H169" s="106">
        <v>3126.0</v>
      </c>
      <c r="I169" s="30">
        <v>6050.0</v>
      </c>
      <c r="J169" s="63">
        <v>17840.85</v>
      </c>
    </row>
    <row r="170">
      <c r="A170" s="22"/>
      <c r="B170" s="71" t="s">
        <v>211</v>
      </c>
      <c r="C170" s="70" t="s">
        <v>32</v>
      </c>
      <c r="D170" s="44"/>
      <c r="E170" s="41">
        <v>9839.0</v>
      </c>
      <c r="F170" s="98">
        <v>7480.0</v>
      </c>
      <c r="G170" s="101"/>
      <c r="H170" s="106">
        <v>2384.0</v>
      </c>
      <c r="I170" s="30">
        <v>6829.0</v>
      </c>
      <c r="J170" s="63">
        <v>16692.5</v>
      </c>
    </row>
    <row r="171">
      <c r="A171" s="22"/>
      <c r="B171" s="71" t="s">
        <v>212</v>
      </c>
      <c r="C171" s="70" t="s">
        <v>34</v>
      </c>
      <c r="D171" s="44"/>
      <c r="E171" s="41">
        <v>10329.0</v>
      </c>
      <c r="F171" s="98">
        <v>6150.0</v>
      </c>
      <c r="G171" s="101"/>
      <c r="H171" s="106">
        <v>6780.0</v>
      </c>
      <c r="I171" s="30">
        <v>5640.6</v>
      </c>
      <c r="J171" s="63">
        <v>18570.45</v>
      </c>
    </row>
    <row r="172">
      <c r="A172" s="22"/>
      <c r="B172" s="71" t="s">
        <v>213</v>
      </c>
      <c r="C172" s="70" t="s">
        <v>35</v>
      </c>
      <c r="D172" s="44"/>
      <c r="E172" s="41">
        <v>10113.0</v>
      </c>
      <c r="F172" s="89">
        <v>5790.0</v>
      </c>
      <c r="G172" s="105"/>
      <c r="H172" s="106">
        <v>3824.0</v>
      </c>
      <c r="I172" s="30">
        <v>8635.0</v>
      </c>
      <c r="J172" s="63">
        <v>18248.7</v>
      </c>
    </row>
    <row r="173">
      <c r="A173" s="22"/>
      <c r="B173" s="71" t="s">
        <v>214</v>
      </c>
      <c r="C173" s="70" t="s">
        <v>36</v>
      </c>
      <c r="D173" s="44"/>
      <c r="E173" s="41">
        <v>9301.0</v>
      </c>
      <c r="F173" s="89">
        <v>5390.0</v>
      </c>
      <c r="G173" s="105"/>
      <c r="H173" s="106">
        <v>6532.0</v>
      </c>
      <c r="I173" s="30">
        <v>6227.0</v>
      </c>
      <c r="J173" s="63">
        <v>18149.05</v>
      </c>
    </row>
    <row r="174">
      <c r="A174" s="22"/>
      <c r="B174" s="71" t="s">
        <v>215</v>
      </c>
      <c r="C174" s="70" t="s">
        <v>30</v>
      </c>
      <c r="D174" s="44"/>
      <c r="E174" s="41">
        <v>12667.0</v>
      </c>
      <c r="F174" s="89">
        <v>3690.0</v>
      </c>
      <c r="G174" s="105"/>
      <c r="H174" s="106">
        <v>6216.0</v>
      </c>
      <c r="I174" s="30">
        <v>4927.0</v>
      </c>
      <c r="J174" s="63">
        <v>14833.0</v>
      </c>
    </row>
    <row r="175">
      <c r="A175" s="22"/>
      <c r="B175" s="71" t="s">
        <v>216</v>
      </c>
      <c r="C175" s="70" t="s">
        <v>29</v>
      </c>
      <c r="D175" s="44"/>
      <c r="E175" s="41">
        <v>15605.0</v>
      </c>
      <c r="F175" s="89">
        <v>6845.0</v>
      </c>
      <c r="G175" s="105"/>
      <c r="H175" s="106">
        <v>3469.0</v>
      </c>
      <c r="I175" s="30">
        <v>5386.0</v>
      </c>
      <c r="J175" s="63">
        <v>15700.2</v>
      </c>
    </row>
    <row r="176">
      <c r="A176" s="22"/>
      <c r="B176" s="71" t="s">
        <v>217</v>
      </c>
      <c r="C176" s="70" t="s">
        <v>31</v>
      </c>
      <c r="D176" s="44"/>
      <c r="E176" s="41">
        <v>12153.0</v>
      </c>
      <c r="F176" s="89">
        <v>7765.0</v>
      </c>
      <c r="G176" s="105"/>
      <c r="H176" s="106">
        <v>9749.0</v>
      </c>
      <c r="I176" s="30">
        <v>7749.0</v>
      </c>
      <c r="J176" s="63">
        <v>25263.25</v>
      </c>
    </row>
    <row r="177">
      <c r="A177" s="22"/>
      <c r="B177" s="71" t="s">
        <v>218</v>
      </c>
      <c r="C177" s="70" t="s">
        <v>32</v>
      </c>
      <c r="D177" s="44"/>
      <c r="E177" s="41">
        <v>8157.0</v>
      </c>
      <c r="F177" s="89">
        <v>4600.0</v>
      </c>
      <c r="G177" s="105"/>
      <c r="H177" s="106">
        <v>3982.0</v>
      </c>
      <c r="I177" s="30">
        <v>6336.0</v>
      </c>
      <c r="J177" s="63">
        <v>14917.6</v>
      </c>
    </row>
    <row r="178">
      <c r="A178" s="22"/>
      <c r="B178" s="71" t="s">
        <v>219</v>
      </c>
      <c r="C178" s="70" t="s">
        <v>34</v>
      </c>
      <c r="D178" s="44"/>
      <c r="E178" s="41">
        <v>10472.0</v>
      </c>
      <c r="F178" s="89">
        <v>6085.0</v>
      </c>
      <c r="G178" s="105"/>
      <c r="H178" s="106">
        <v>8216.0</v>
      </c>
      <c r="I178" s="30">
        <v>9624.0</v>
      </c>
      <c r="J178" s="63">
        <v>23925.3</v>
      </c>
    </row>
    <row r="179">
      <c r="A179" s="22"/>
      <c r="B179" s="71" t="s">
        <v>220</v>
      </c>
      <c r="C179" s="70" t="s">
        <v>35</v>
      </c>
      <c r="D179" s="76"/>
      <c r="E179" s="41">
        <v>10872.0</v>
      </c>
      <c r="F179" s="89">
        <v>6550.0</v>
      </c>
      <c r="G179" s="105"/>
      <c r="H179" s="106">
        <v>8784.0</v>
      </c>
      <c r="I179" s="30">
        <v>8848.0</v>
      </c>
      <c r="J179" s="63">
        <v>24182.3</v>
      </c>
    </row>
    <row r="180">
      <c r="A180" s="22"/>
      <c r="B180" s="71" t="s">
        <v>221</v>
      </c>
      <c r="C180" s="70" t="s">
        <v>36</v>
      </c>
      <c r="D180" s="42"/>
      <c r="E180" s="41">
        <v>8797.0</v>
      </c>
      <c r="F180" s="89">
        <v>4050.0</v>
      </c>
      <c r="G180" s="105"/>
      <c r="H180" s="106">
        <v>5377.0</v>
      </c>
      <c r="I180" s="30">
        <v>6543.0</v>
      </c>
      <c r="J180" s="63">
        <v>26340.05</v>
      </c>
    </row>
    <row r="181">
      <c r="A181" s="22"/>
      <c r="B181" s="71" t="s">
        <v>222</v>
      </c>
      <c r="C181" s="70" t="s">
        <v>30</v>
      </c>
      <c r="D181" s="42"/>
      <c r="E181" s="41">
        <v>8789.0</v>
      </c>
      <c r="F181" s="89">
        <v>2985.0</v>
      </c>
      <c r="G181" s="105"/>
      <c r="H181" s="106">
        <v>3839.0</v>
      </c>
      <c r="I181" s="30">
        <v>7529.0</v>
      </c>
      <c r="J181" s="63">
        <v>22742.8</v>
      </c>
    </row>
    <row r="182">
      <c r="A182" s="22"/>
      <c r="B182" s="71" t="s">
        <v>223</v>
      </c>
      <c r="C182" s="107" t="s">
        <v>29</v>
      </c>
      <c r="D182" s="108"/>
      <c r="E182" s="41">
        <v>14310.0</v>
      </c>
      <c r="F182" s="89">
        <v>7730.0</v>
      </c>
      <c r="G182" s="105"/>
      <c r="H182" s="106">
        <v>6903.0</v>
      </c>
      <c r="I182" s="30">
        <v>7756.0</v>
      </c>
      <c r="J182" s="63">
        <v>22388.7</v>
      </c>
    </row>
    <row r="183">
      <c r="A183" s="22"/>
      <c r="B183" s="71" t="s">
        <v>224</v>
      </c>
      <c r="C183" s="107" t="s">
        <v>31</v>
      </c>
      <c r="D183" s="108"/>
      <c r="E183" s="41">
        <v>16909.0</v>
      </c>
      <c r="F183" s="89">
        <v>9015.0</v>
      </c>
      <c r="G183" s="105"/>
      <c r="H183" s="106">
        <v>7705.0</v>
      </c>
      <c r="I183" s="30">
        <v>8686.0</v>
      </c>
      <c r="J183" s="63">
        <v>25405.9</v>
      </c>
    </row>
    <row r="184">
      <c r="A184" s="22"/>
      <c r="B184" s="71" t="s">
        <v>225</v>
      </c>
      <c r="C184" s="107" t="s">
        <v>32</v>
      </c>
      <c r="D184" s="108"/>
      <c r="E184" s="41">
        <v>10142.0</v>
      </c>
      <c r="F184" s="89">
        <v>4175.0</v>
      </c>
      <c r="G184" s="105"/>
      <c r="H184" s="106">
        <v>2989.0</v>
      </c>
      <c r="I184" s="30">
        <v>3555.0</v>
      </c>
      <c r="J184" s="63">
        <v>10718.95</v>
      </c>
    </row>
    <row r="185">
      <c r="A185" s="22"/>
      <c r="B185" s="71" t="s">
        <v>226</v>
      </c>
      <c r="C185" s="107" t="s">
        <v>34</v>
      </c>
      <c r="D185" s="37"/>
      <c r="E185" s="41">
        <v>10624.0</v>
      </c>
      <c r="F185" s="89">
        <v>4015.0</v>
      </c>
      <c r="G185" s="105"/>
      <c r="H185" s="106">
        <v>5774.0</v>
      </c>
      <c r="I185" s="30">
        <v>3457.0</v>
      </c>
      <c r="J185" s="63">
        <v>23397.95</v>
      </c>
    </row>
    <row r="186">
      <c r="A186" s="22"/>
      <c r="B186" s="71" t="s">
        <v>227</v>
      </c>
      <c r="C186" s="107" t="s">
        <v>31</v>
      </c>
      <c r="D186" s="37"/>
      <c r="E186" s="41">
        <v>9820.0</v>
      </c>
      <c r="F186" s="89">
        <v>4540.0</v>
      </c>
      <c r="G186" s="105"/>
      <c r="H186" s="106">
        <v>3732.0</v>
      </c>
      <c r="I186" s="30">
        <v>7068.0</v>
      </c>
      <c r="J186" s="63">
        <v>24711.7</v>
      </c>
    </row>
    <row r="187">
      <c r="A187" s="22"/>
      <c r="B187" s="71" t="s">
        <v>228</v>
      </c>
      <c r="C187" s="107" t="s">
        <v>32</v>
      </c>
      <c r="D187" s="37"/>
      <c r="E187" s="41">
        <v>11472.0</v>
      </c>
      <c r="F187" s="89">
        <v>10015.0</v>
      </c>
      <c r="G187" s="105"/>
      <c r="H187" s="106">
        <v>9083.0</v>
      </c>
      <c r="I187" s="30">
        <v>11565.0</v>
      </c>
      <c r="J187" s="63">
        <v>41627.5</v>
      </c>
    </row>
    <row r="188">
      <c r="A188" s="22"/>
      <c r="B188" s="109"/>
      <c r="C188" s="110"/>
      <c r="D188" s="108"/>
      <c r="E188" s="76"/>
      <c r="F188" s="89" t="s">
        <v>0</v>
      </c>
      <c r="G188" s="86"/>
      <c r="H188" s="91"/>
      <c r="I188" s="92"/>
      <c r="J188" s="63">
        <v>0.0</v>
      </c>
    </row>
    <row r="189">
      <c r="A189" s="49"/>
      <c r="B189" s="111"/>
      <c r="C189" s="112"/>
      <c r="D189" s="113"/>
      <c r="E189" s="113">
        <f>SUM(E158:E188)</f>
        <v>340601</v>
      </c>
      <c r="F189" s="114">
        <v>189558.0</v>
      </c>
      <c r="G189" s="115"/>
      <c r="H189" s="116">
        <v>111215.25</v>
      </c>
      <c r="I189" s="116">
        <v>196630.82</v>
      </c>
      <c r="J189" s="117">
        <v>588934.07</v>
      </c>
    </row>
    <row r="190">
      <c r="A190" s="11" t="s">
        <v>27</v>
      </c>
      <c r="B190" s="34">
        <v>46027.0</v>
      </c>
      <c r="C190" s="35" t="s">
        <v>30</v>
      </c>
      <c r="D190" s="37">
        <v>8393.0</v>
      </c>
      <c r="E190" s="46">
        <v>12715.0</v>
      </c>
      <c r="F190" s="118">
        <v>4560.0</v>
      </c>
      <c r="G190" s="99"/>
      <c r="H190" s="16">
        <v>5331.0</v>
      </c>
      <c r="I190" s="43">
        <v>8614.0</v>
      </c>
      <c r="J190" s="119">
        <f t="shared" ref="J190:J220" si="2">SUM(D190:I190)</f>
        <v>39613</v>
      </c>
    </row>
    <row r="191">
      <c r="A191" s="22"/>
      <c r="B191" s="34">
        <v>46058.0</v>
      </c>
      <c r="C191" s="35" t="s">
        <v>29</v>
      </c>
      <c r="D191" s="37">
        <v>11388.0</v>
      </c>
      <c r="E191" s="46">
        <v>17571.0</v>
      </c>
      <c r="F191" s="118">
        <v>9382.0</v>
      </c>
      <c r="G191" s="99"/>
      <c r="H191" s="16">
        <v>4873.0</v>
      </c>
      <c r="I191" s="43">
        <v>5935.0</v>
      </c>
      <c r="J191" s="119">
        <f t="shared" si="2"/>
        <v>49149</v>
      </c>
    </row>
    <row r="192">
      <c r="A192" s="22"/>
      <c r="B192" s="34">
        <v>46086.0</v>
      </c>
      <c r="C192" s="35" t="s">
        <v>31</v>
      </c>
      <c r="D192" s="37">
        <v>12186.0</v>
      </c>
      <c r="E192" s="46">
        <v>16096.0</v>
      </c>
      <c r="F192" s="118">
        <v>10050.0</v>
      </c>
      <c r="G192" s="99"/>
      <c r="H192" s="16">
        <v>9867.0</v>
      </c>
      <c r="I192" s="43">
        <v>14050.0</v>
      </c>
      <c r="J192" s="119">
        <f t="shared" si="2"/>
        <v>62249</v>
      </c>
    </row>
    <row r="193">
      <c r="A193" s="22"/>
      <c r="B193" s="34">
        <v>46117.0</v>
      </c>
      <c r="C193" s="35" t="s">
        <v>32</v>
      </c>
      <c r="D193" s="37">
        <v>9139.0</v>
      </c>
      <c r="E193" s="46">
        <v>11423.0</v>
      </c>
      <c r="F193" s="118">
        <v>5960.0</v>
      </c>
      <c r="G193" s="99"/>
      <c r="H193" s="16">
        <v>1141.0</v>
      </c>
      <c r="I193" s="43">
        <v>7759.0</v>
      </c>
      <c r="J193" s="119">
        <f t="shared" si="2"/>
        <v>35422</v>
      </c>
    </row>
    <row r="194">
      <c r="A194" s="22"/>
      <c r="B194" s="34">
        <v>46147.0</v>
      </c>
      <c r="C194" s="35" t="s">
        <v>34</v>
      </c>
      <c r="D194" s="37">
        <v>6148.0</v>
      </c>
      <c r="E194" s="46">
        <v>5544.0</v>
      </c>
      <c r="F194" s="118">
        <v>3085.0</v>
      </c>
      <c r="G194" s="99"/>
      <c r="H194" s="16">
        <v>1374.0</v>
      </c>
      <c r="I194" s="43">
        <v>5326.2</v>
      </c>
      <c r="J194" s="119">
        <f t="shared" si="2"/>
        <v>21477.2</v>
      </c>
    </row>
    <row r="195">
      <c r="A195" s="22"/>
      <c r="B195" s="34">
        <v>46178.0</v>
      </c>
      <c r="C195" s="35" t="s">
        <v>35</v>
      </c>
      <c r="D195" s="37">
        <v>6051.0</v>
      </c>
      <c r="E195" s="46">
        <v>12938.0</v>
      </c>
      <c r="F195" s="118">
        <v>5330.0</v>
      </c>
      <c r="G195" s="99"/>
      <c r="H195" s="16">
        <v>5986.0</v>
      </c>
      <c r="I195" s="43">
        <v>4919.0</v>
      </c>
      <c r="J195" s="119">
        <f t="shared" si="2"/>
        <v>35224</v>
      </c>
    </row>
    <row r="196">
      <c r="A196" s="22"/>
      <c r="B196" s="34">
        <v>46208.0</v>
      </c>
      <c r="C196" s="35" t="s">
        <v>36</v>
      </c>
      <c r="D196" s="37">
        <v>6758.0</v>
      </c>
      <c r="E196" s="46">
        <v>12214.0</v>
      </c>
      <c r="F196" s="118">
        <v>6135.0</v>
      </c>
      <c r="G196" s="99"/>
      <c r="H196" s="16">
        <v>853.0</v>
      </c>
      <c r="I196" s="43">
        <v>7021.0</v>
      </c>
      <c r="J196" s="119">
        <f t="shared" si="2"/>
        <v>32981</v>
      </c>
    </row>
    <row r="197">
      <c r="A197" s="22"/>
      <c r="B197" s="34">
        <v>46239.0</v>
      </c>
      <c r="C197" s="35" t="s">
        <v>30</v>
      </c>
      <c r="D197" s="37">
        <v>5326.0</v>
      </c>
      <c r="E197" s="46">
        <v>15771.0</v>
      </c>
      <c r="F197" s="118">
        <v>4925.0</v>
      </c>
      <c r="G197" s="99"/>
      <c r="H197" s="16">
        <v>0.0</v>
      </c>
      <c r="I197" s="43">
        <v>8227.0</v>
      </c>
      <c r="J197" s="119">
        <f t="shared" si="2"/>
        <v>34249</v>
      </c>
    </row>
    <row r="198">
      <c r="A198" s="22"/>
      <c r="B198" s="34">
        <v>46270.0</v>
      </c>
      <c r="C198" s="35" t="s">
        <v>29</v>
      </c>
      <c r="D198" s="37">
        <v>8136.0</v>
      </c>
      <c r="E198" s="46">
        <v>20057.0</v>
      </c>
      <c r="F198" s="118">
        <v>8070.0</v>
      </c>
      <c r="G198" s="99"/>
      <c r="H198" s="16">
        <v>0.0</v>
      </c>
      <c r="I198" s="43">
        <v>497.0</v>
      </c>
      <c r="J198" s="119">
        <f t="shared" si="2"/>
        <v>36760</v>
      </c>
    </row>
    <row r="199">
      <c r="A199" s="22"/>
      <c r="B199" s="34">
        <v>46300.0</v>
      </c>
      <c r="C199" s="35" t="s">
        <v>31</v>
      </c>
      <c r="D199" s="37">
        <v>10942.0</v>
      </c>
      <c r="E199" s="46">
        <v>20276.0</v>
      </c>
      <c r="F199" s="118">
        <v>7590.0</v>
      </c>
      <c r="G199" s="99"/>
      <c r="H199" s="16">
        <v>3620.0</v>
      </c>
      <c r="I199" s="43">
        <v>8921.0</v>
      </c>
      <c r="J199" s="119">
        <f t="shared" si="2"/>
        <v>51349</v>
      </c>
    </row>
    <row r="200">
      <c r="A200" s="22"/>
      <c r="B200" s="34">
        <v>46331.0</v>
      </c>
      <c r="C200" s="35" t="s">
        <v>32</v>
      </c>
      <c r="D200" s="37">
        <v>0.0</v>
      </c>
      <c r="E200" s="46">
        <v>11455.0</v>
      </c>
      <c r="F200" s="118">
        <v>4760.0</v>
      </c>
      <c r="G200" s="99"/>
      <c r="H200" s="16">
        <v>2889.0</v>
      </c>
      <c r="I200" s="43">
        <v>6856.0</v>
      </c>
      <c r="J200" s="119">
        <f t="shared" si="2"/>
        <v>25960</v>
      </c>
    </row>
    <row r="201">
      <c r="A201" s="22"/>
      <c r="B201" s="34">
        <v>46361.0</v>
      </c>
      <c r="C201" s="35" t="s">
        <v>34</v>
      </c>
      <c r="D201" s="37">
        <v>0.0</v>
      </c>
      <c r="E201" s="46">
        <v>10173.0</v>
      </c>
      <c r="F201" s="118">
        <v>3780.0</v>
      </c>
      <c r="G201" s="99"/>
      <c r="H201" s="16">
        <v>6042.0</v>
      </c>
      <c r="I201" s="43">
        <v>8956.0</v>
      </c>
      <c r="J201" s="119">
        <f t="shared" si="2"/>
        <v>28951</v>
      </c>
    </row>
    <row r="202">
      <c r="A202" s="22"/>
      <c r="B202" s="35" t="s">
        <v>45</v>
      </c>
      <c r="C202" s="35" t="s">
        <v>35</v>
      </c>
      <c r="D202" s="37">
        <v>4576.0</v>
      </c>
      <c r="E202" s="46">
        <v>8267.0</v>
      </c>
      <c r="F202" s="118">
        <v>4135.0</v>
      </c>
      <c r="G202" s="99"/>
      <c r="H202" s="16">
        <v>3879.0</v>
      </c>
      <c r="I202" s="43">
        <v>3890.0</v>
      </c>
      <c r="J202" s="119">
        <f t="shared" si="2"/>
        <v>24747</v>
      </c>
    </row>
    <row r="203">
      <c r="A203" s="22"/>
      <c r="B203" s="35" t="s">
        <v>47</v>
      </c>
      <c r="C203" s="35" t="s">
        <v>36</v>
      </c>
      <c r="D203" s="37">
        <v>8777.0</v>
      </c>
      <c r="E203" s="46">
        <v>7524.0</v>
      </c>
      <c r="F203" s="118">
        <v>4455.0</v>
      </c>
      <c r="G203" s="99"/>
      <c r="H203" s="16">
        <v>4458.0</v>
      </c>
      <c r="I203" s="43">
        <v>3087.0</v>
      </c>
      <c r="J203" s="119">
        <f t="shared" si="2"/>
        <v>28301</v>
      </c>
    </row>
    <row r="204">
      <c r="A204" s="22"/>
      <c r="B204" s="35" t="s">
        <v>49</v>
      </c>
      <c r="C204" s="35" t="s">
        <v>30</v>
      </c>
      <c r="D204" s="37">
        <v>15684.0</v>
      </c>
      <c r="E204" s="46">
        <v>13315.0</v>
      </c>
      <c r="F204" s="118">
        <v>12340.0</v>
      </c>
      <c r="G204" s="99"/>
      <c r="H204" s="16">
        <v>5084.0</v>
      </c>
      <c r="I204" s="43">
        <v>7499.0</v>
      </c>
      <c r="J204" s="119">
        <f t="shared" si="2"/>
        <v>53922</v>
      </c>
    </row>
    <row r="205">
      <c r="A205" s="22"/>
      <c r="B205" s="35" t="s">
        <v>51</v>
      </c>
      <c r="C205" s="35" t="s">
        <v>29</v>
      </c>
      <c r="D205" s="43">
        <v>13353.0</v>
      </c>
      <c r="E205" s="46">
        <v>19275.0</v>
      </c>
      <c r="F205" s="118">
        <v>12535.0</v>
      </c>
      <c r="G205" s="99"/>
      <c r="H205" s="121">
        <v>10034.95</v>
      </c>
      <c r="I205" s="43">
        <v>10725.0</v>
      </c>
      <c r="J205" s="119">
        <f t="shared" si="2"/>
        <v>65922.95</v>
      </c>
    </row>
    <row r="206">
      <c r="A206" s="22"/>
      <c r="B206" s="35" t="s">
        <v>54</v>
      </c>
      <c r="C206" s="35" t="s">
        <v>31</v>
      </c>
      <c r="D206" s="43">
        <v>13367.0</v>
      </c>
      <c r="E206" s="46">
        <v>18484.0</v>
      </c>
      <c r="F206" s="118">
        <v>11040.0</v>
      </c>
      <c r="G206" s="99"/>
      <c r="H206" s="121">
        <v>9732.6</v>
      </c>
      <c r="I206" s="43">
        <v>9618.0</v>
      </c>
      <c r="J206" s="119">
        <f t="shared" si="2"/>
        <v>62241.6</v>
      </c>
    </row>
    <row r="207">
      <c r="A207" s="22"/>
      <c r="B207" s="35" t="s">
        <v>57</v>
      </c>
      <c r="C207" s="35" t="s">
        <v>32</v>
      </c>
      <c r="D207" s="37">
        <v>0.0</v>
      </c>
      <c r="E207" s="46">
        <v>8808.0</v>
      </c>
      <c r="F207" s="118">
        <v>5060.0</v>
      </c>
      <c r="G207" s="99"/>
      <c r="H207" s="121">
        <v>6327.3</v>
      </c>
      <c r="I207" s="43">
        <v>8764.0</v>
      </c>
      <c r="J207" s="119">
        <f t="shared" si="2"/>
        <v>28959.3</v>
      </c>
    </row>
    <row r="208">
      <c r="A208" s="22"/>
      <c r="B208" s="35" t="s">
        <v>61</v>
      </c>
      <c r="C208" s="35" t="s">
        <v>34</v>
      </c>
      <c r="D208" s="37">
        <v>7780.0</v>
      </c>
      <c r="E208" s="46">
        <v>8652.0</v>
      </c>
      <c r="F208" s="118">
        <v>7005.0</v>
      </c>
      <c r="G208" s="99"/>
      <c r="H208" s="121">
        <v>4709.45</v>
      </c>
      <c r="I208" s="43">
        <v>8134.0</v>
      </c>
      <c r="J208" s="119">
        <f t="shared" si="2"/>
        <v>36280.45</v>
      </c>
    </row>
    <row r="209">
      <c r="A209" s="22"/>
      <c r="B209" s="35" t="s">
        <v>63</v>
      </c>
      <c r="C209" s="35" t="s">
        <v>35</v>
      </c>
      <c r="D209" s="37">
        <v>11786.0</v>
      </c>
      <c r="E209" s="46">
        <v>12083.0</v>
      </c>
      <c r="F209" s="118">
        <v>4745.0</v>
      </c>
      <c r="G209" s="99"/>
      <c r="H209" s="121">
        <v>5206.1</v>
      </c>
      <c r="I209" s="43">
        <v>6260.0</v>
      </c>
      <c r="J209" s="119">
        <f t="shared" si="2"/>
        <v>40080.1</v>
      </c>
    </row>
    <row r="210">
      <c r="A210" s="22"/>
      <c r="B210" s="35" t="s">
        <v>73</v>
      </c>
      <c r="C210" s="35" t="s">
        <v>36</v>
      </c>
      <c r="D210" s="37">
        <v>8133.0</v>
      </c>
      <c r="E210" s="46">
        <v>9094.0</v>
      </c>
      <c r="F210" s="118">
        <v>4700.0</v>
      </c>
      <c r="G210" s="99"/>
      <c r="H210" s="121">
        <v>6548.05</v>
      </c>
      <c r="I210" s="37">
        <v>6628.0</v>
      </c>
      <c r="J210" s="119">
        <f t="shared" si="2"/>
        <v>35103.05</v>
      </c>
    </row>
    <row r="211">
      <c r="A211" s="22"/>
      <c r="B211" s="35" t="s">
        <v>77</v>
      </c>
      <c r="C211" s="35" t="s">
        <v>30</v>
      </c>
      <c r="D211" s="51">
        <v>17483.0</v>
      </c>
      <c r="E211" s="46">
        <v>12684.0</v>
      </c>
      <c r="F211" s="118">
        <v>9275.0</v>
      </c>
      <c r="G211" s="99"/>
      <c r="H211" s="121">
        <v>6710.35</v>
      </c>
      <c r="I211" s="51">
        <v>9359.0</v>
      </c>
      <c r="J211" s="119">
        <f t="shared" si="2"/>
        <v>55511.35</v>
      </c>
    </row>
    <row r="212">
      <c r="A212" s="22"/>
      <c r="B212" s="35" t="s">
        <v>79</v>
      </c>
      <c r="C212" s="35" t="s">
        <v>29</v>
      </c>
      <c r="D212" s="51">
        <v>14700.0</v>
      </c>
      <c r="E212" s="46">
        <v>19133.0</v>
      </c>
      <c r="F212" s="118">
        <v>8440.0</v>
      </c>
      <c r="G212" s="99"/>
      <c r="H212" s="121">
        <v>11231.5</v>
      </c>
      <c r="I212" s="51">
        <v>10775.0</v>
      </c>
      <c r="J212" s="119">
        <f t="shared" si="2"/>
        <v>64279.5</v>
      </c>
    </row>
    <row r="213">
      <c r="A213" s="22"/>
      <c r="B213" s="35" t="s">
        <v>84</v>
      </c>
      <c r="C213" s="35" t="s">
        <v>31</v>
      </c>
      <c r="D213" s="51">
        <v>10940.0</v>
      </c>
      <c r="E213" s="46">
        <v>18357.0</v>
      </c>
      <c r="F213" s="118">
        <v>9715.0</v>
      </c>
      <c r="G213" s="99"/>
      <c r="H213" s="121">
        <v>10390.0</v>
      </c>
      <c r="I213" s="51">
        <v>13848.0</v>
      </c>
      <c r="J213" s="119">
        <f t="shared" si="2"/>
        <v>63250</v>
      </c>
    </row>
    <row r="214">
      <c r="A214" s="22"/>
      <c r="B214" s="35" t="s">
        <v>86</v>
      </c>
      <c r="C214" s="35" t="s">
        <v>32</v>
      </c>
      <c r="D214" s="51">
        <v>8383.0</v>
      </c>
      <c r="E214" s="46">
        <v>10881.0</v>
      </c>
      <c r="F214" s="118">
        <v>4150.0</v>
      </c>
      <c r="G214" s="99"/>
      <c r="H214" s="121">
        <v>2129.0</v>
      </c>
      <c r="I214" s="51">
        <v>6546.0</v>
      </c>
      <c r="J214" s="119">
        <f t="shared" si="2"/>
        <v>32089</v>
      </c>
    </row>
    <row r="215">
      <c r="A215" s="22"/>
      <c r="B215" s="35" t="s">
        <v>89</v>
      </c>
      <c r="C215" s="35" t="s">
        <v>34</v>
      </c>
      <c r="D215" s="51">
        <v>0.0</v>
      </c>
      <c r="E215" s="46">
        <v>9783.0</v>
      </c>
      <c r="F215" s="118">
        <v>4420.0</v>
      </c>
      <c r="G215" s="99"/>
      <c r="H215" s="121">
        <v>2605.0</v>
      </c>
      <c r="I215" s="51">
        <v>7689.0</v>
      </c>
      <c r="J215" s="119">
        <f t="shared" si="2"/>
        <v>24497</v>
      </c>
    </row>
    <row r="216">
      <c r="A216" s="22"/>
      <c r="B216" s="35" t="s">
        <v>91</v>
      </c>
      <c r="C216" s="35" t="s">
        <v>35</v>
      </c>
      <c r="D216" s="51">
        <v>9362.0</v>
      </c>
      <c r="E216" s="46">
        <v>8660.0</v>
      </c>
      <c r="F216" s="118">
        <v>4430.0</v>
      </c>
      <c r="G216" s="99"/>
      <c r="H216" s="121">
        <v>7531.0</v>
      </c>
      <c r="I216" s="51">
        <v>7553.0</v>
      </c>
      <c r="J216" s="119">
        <f t="shared" si="2"/>
        <v>37536</v>
      </c>
    </row>
    <row r="217">
      <c r="A217" s="22"/>
      <c r="B217" s="35" t="s">
        <v>93</v>
      </c>
      <c r="C217" s="35" t="s">
        <v>36</v>
      </c>
      <c r="D217" s="51">
        <v>11099.0</v>
      </c>
      <c r="E217" s="46">
        <v>16224.0</v>
      </c>
      <c r="F217" s="118">
        <v>5345.0</v>
      </c>
      <c r="G217" s="99"/>
      <c r="H217" s="121">
        <v>6437.0</v>
      </c>
      <c r="I217" s="51">
        <v>9787.0</v>
      </c>
      <c r="J217" s="119">
        <f t="shared" si="2"/>
        <v>48892</v>
      </c>
    </row>
    <row r="218">
      <c r="A218" s="22"/>
      <c r="B218" s="35" t="s">
        <v>94</v>
      </c>
      <c r="C218" s="35" t="s">
        <v>30</v>
      </c>
      <c r="D218" s="51">
        <v>12921.0</v>
      </c>
      <c r="E218" s="46">
        <v>13225.0</v>
      </c>
      <c r="F218" s="118">
        <v>3785.0</v>
      </c>
      <c r="G218" s="99"/>
      <c r="H218" s="121">
        <v>9695.0</v>
      </c>
      <c r="I218" s="51">
        <v>6258.0</v>
      </c>
      <c r="J218" s="119">
        <f t="shared" si="2"/>
        <v>45884</v>
      </c>
    </row>
    <row r="219">
      <c r="A219" s="22"/>
      <c r="B219" s="35" t="s">
        <v>95</v>
      </c>
      <c r="C219" s="35" t="s">
        <v>29</v>
      </c>
      <c r="D219" s="51">
        <v>12408.0</v>
      </c>
      <c r="E219" s="46">
        <v>17313.0</v>
      </c>
      <c r="F219" s="118">
        <v>4715.0</v>
      </c>
      <c r="G219" s="99"/>
      <c r="H219" s="121">
        <v>6650.0</v>
      </c>
      <c r="I219" s="51">
        <v>11094.0</v>
      </c>
      <c r="J219" s="119">
        <f t="shared" si="2"/>
        <v>52180</v>
      </c>
    </row>
    <row r="220">
      <c r="A220" s="22"/>
      <c r="B220" s="35" t="s">
        <v>96</v>
      </c>
      <c r="C220" s="35" t="s">
        <v>31</v>
      </c>
      <c r="D220" s="51">
        <v>12253.0</v>
      </c>
      <c r="E220" s="46">
        <v>13938.0</v>
      </c>
      <c r="F220" s="118">
        <v>7805.0</v>
      </c>
      <c r="G220" s="99"/>
      <c r="H220" s="121">
        <v>6650.0</v>
      </c>
      <c r="I220" s="51">
        <v>7920.0</v>
      </c>
      <c r="J220" s="119">
        <f t="shared" si="2"/>
        <v>48566</v>
      </c>
    </row>
    <row r="221">
      <c r="A221" s="64"/>
      <c r="B221" s="65"/>
      <c r="C221" s="65"/>
      <c r="D221" s="66">
        <f t="shared" ref="D221:F221" si="3">sum(D190:D220)</f>
        <v>277472</v>
      </c>
      <c r="E221" s="66">
        <f t="shared" si="3"/>
        <v>411933</v>
      </c>
      <c r="F221" s="128">
        <f t="shared" si="3"/>
        <v>201722</v>
      </c>
      <c r="G221" s="99"/>
      <c r="H221" s="66">
        <f t="shared" ref="H221:J221" si="4">sum(H190:H220)</f>
        <v>167984.3</v>
      </c>
      <c r="I221" s="66">
        <f t="shared" si="4"/>
        <v>242515.2</v>
      </c>
      <c r="J221" s="125">
        <f t="shared" si="4"/>
        <v>1301626.5</v>
      </c>
    </row>
    <row r="222">
      <c r="A222" s="11" t="s">
        <v>234</v>
      </c>
      <c r="B222" s="34">
        <v>46028.0</v>
      </c>
      <c r="C222" s="35" t="s">
        <v>32</v>
      </c>
      <c r="D222" s="37">
        <v>4976.0</v>
      </c>
      <c r="E222" s="46">
        <v>8418.0</v>
      </c>
      <c r="F222" s="118">
        <v>6020.0</v>
      </c>
      <c r="G222" s="99"/>
      <c r="H222" s="16">
        <v>5655.0</v>
      </c>
      <c r="I222" s="43">
        <v>7084.0</v>
      </c>
      <c r="J222" s="119">
        <f t="shared" ref="J222:J251" si="5">SUM(D222:I222)</f>
        <v>32153</v>
      </c>
    </row>
    <row r="223">
      <c r="A223" s="22"/>
      <c r="B223" s="34">
        <v>46059.0</v>
      </c>
      <c r="C223" s="35" t="s">
        <v>34</v>
      </c>
      <c r="D223" s="37">
        <v>14512.0</v>
      </c>
      <c r="E223" s="46">
        <v>11331.0</v>
      </c>
      <c r="F223" s="118">
        <v>6325.0</v>
      </c>
      <c r="G223" s="99"/>
      <c r="H223" s="16">
        <v>3754.0</v>
      </c>
      <c r="I223" s="43">
        <v>6264.0</v>
      </c>
      <c r="J223" s="119">
        <f t="shared" si="5"/>
        <v>42186</v>
      </c>
    </row>
    <row r="224">
      <c r="A224" s="22"/>
      <c r="B224" s="34">
        <v>46087.0</v>
      </c>
      <c r="C224" s="35" t="s">
        <v>35</v>
      </c>
      <c r="D224" s="37">
        <v>10949.0</v>
      </c>
      <c r="E224" s="46">
        <v>9477.0</v>
      </c>
      <c r="F224" s="118">
        <v>3583.0</v>
      </c>
      <c r="G224" s="99"/>
      <c r="H224" s="16">
        <v>5166.0</v>
      </c>
      <c r="I224" s="43">
        <v>7560.0</v>
      </c>
      <c r="J224" s="119">
        <f t="shared" si="5"/>
        <v>36735</v>
      </c>
    </row>
    <row r="225">
      <c r="A225" s="22"/>
      <c r="B225" s="34">
        <v>46118.0</v>
      </c>
      <c r="C225" s="35" t="s">
        <v>36</v>
      </c>
      <c r="D225" s="37">
        <v>12146.0</v>
      </c>
      <c r="E225" s="46">
        <v>14123.0</v>
      </c>
      <c r="F225" s="118">
        <v>6710.0</v>
      </c>
      <c r="G225" s="99"/>
      <c r="H225" s="16">
        <v>7448.0</v>
      </c>
      <c r="I225" s="43">
        <v>9331.0</v>
      </c>
      <c r="J225" s="119">
        <f t="shared" si="5"/>
        <v>49758</v>
      </c>
    </row>
    <row r="226">
      <c r="A226" s="22"/>
      <c r="B226" s="34">
        <v>46148.0</v>
      </c>
      <c r="C226" s="35" t="s">
        <v>30</v>
      </c>
      <c r="D226" s="37">
        <v>9177.0</v>
      </c>
      <c r="E226" s="46">
        <v>7729.0</v>
      </c>
      <c r="F226" s="118">
        <v>5010.0</v>
      </c>
      <c r="G226" s="99"/>
      <c r="H226" s="16">
        <v>5113.0</v>
      </c>
      <c r="I226" s="43">
        <v>6823.0</v>
      </c>
      <c r="J226" s="119">
        <f t="shared" si="5"/>
        <v>33852</v>
      </c>
    </row>
    <row r="227">
      <c r="A227" s="22"/>
      <c r="B227" s="34">
        <v>46179.0</v>
      </c>
      <c r="C227" s="35" t="s">
        <v>29</v>
      </c>
      <c r="D227" s="37">
        <v>11134.0</v>
      </c>
      <c r="E227" s="46">
        <v>15162.0</v>
      </c>
      <c r="F227" s="118">
        <v>7765.0</v>
      </c>
      <c r="G227" s="99"/>
      <c r="H227" s="16">
        <v>12978.0</v>
      </c>
      <c r="I227" s="43">
        <v>13360.0</v>
      </c>
      <c r="J227" s="119">
        <f t="shared" si="5"/>
        <v>60399</v>
      </c>
    </row>
    <row r="228">
      <c r="A228" s="22"/>
      <c r="B228" s="34">
        <v>46209.0</v>
      </c>
      <c r="C228" s="35" t="s">
        <v>31</v>
      </c>
      <c r="D228" s="37">
        <v>16010.0</v>
      </c>
      <c r="E228" s="46">
        <v>19606.0</v>
      </c>
      <c r="F228" s="118">
        <v>6515.0</v>
      </c>
      <c r="G228" s="99"/>
      <c r="H228" s="16">
        <v>9474.0</v>
      </c>
      <c r="I228" s="43">
        <v>14991.0</v>
      </c>
      <c r="J228" s="119">
        <f t="shared" si="5"/>
        <v>66596</v>
      </c>
    </row>
    <row r="229">
      <c r="A229" s="22"/>
      <c r="B229" s="34">
        <v>46240.0</v>
      </c>
      <c r="C229" s="35" t="s">
        <v>32</v>
      </c>
      <c r="D229" s="37">
        <v>0.0</v>
      </c>
      <c r="E229" s="46">
        <v>9914.0</v>
      </c>
      <c r="F229" s="118">
        <v>2220.0</v>
      </c>
      <c r="G229" s="99"/>
      <c r="H229" s="16">
        <v>5292.0</v>
      </c>
      <c r="I229" s="43">
        <v>8467.0</v>
      </c>
      <c r="J229" s="119">
        <f t="shared" si="5"/>
        <v>25893</v>
      </c>
    </row>
    <row r="230">
      <c r="A230" s="22"/>
      <c r="B230" s="34">
        <v>46271.0</v>
      </c>
      <c r="C230" s="35" t="s">
        <v>34</v>
      </c>
      <c r="D230" s="37">
        <v>7594.0</v>
      </c>
      <c r="E230" s="46">
        <v>8895.0</v>
      </c>
      <c r="F230" s="118">
        <v>3275.0</v>
      </c>
      <c r="G230" s="99"/>
      <c r="H230" s="16">
        <v>4582.0</v>
      </c>
      <c r="I230" s="43">
        <v>4612.0</v>
      </c>
      <c r="J230" s="119">
        <f t="shared" si="5"/>
        <v>28958</v>
      </c>
    </row>
    <row r="231">
      <c r="A231" s="22"/>
      <c r="B231" s="34">
        <v>46301.0</v>
      </c>
      <c r="C231" s="35" t="s">
        <v>35</v>
      </c>
      <c r="D231" s="37">
        <v>11487.0</v>
      </c>
      <c r="E231" s="46">
        <v>8446.0</v>
      </c>
      <c r="F231" s="118">
        <v>5300.0</v>
      </c>
      <c r="G231" s="99"/>
      <c r="H231" s="16">
        <v>3183.0</v>
      </c>
      <c r="I231" s="43">
        <v>4226.0</v>
      </c>
      <c r="J231" s="119">
        <f t="shared" si="5"/>
        <v>32642</v>
      </c>
    </row>
    <row r="232">
      <c r="A232" s="22"/>
      <c r="B232" s="34">
        <v>46332.0</v>
      </c>
      <c r="C232" s="35" t="s">
        <v>36</v>
      </c>
      <c r="D232" s="37">
        <v>11637.0</v>
      </c>
      <c r="E232" s="46">
        <v>14513.0</v>
      </c>
      <c r="F232" s="118">
        <v>3310.0</v>
      </c>
      <c r="G232" s="99"/>
      <c r="H232" s="16">
        <v>5443.0</v>
      </c>
      <c r="I232" s="43">
        <v>9789.0</v>
      </c>
      <c r="J232" s="119">
        <f t="shared" si="5"/>
        <v>44692</v>
      </c>
    </row>
    <row r="233">
      <c r="A233" s="22"/>
      <c r="B233" s="34">
        <v>46362.0</v>
      </c>
      <c r="C233" s="35" t="s">
        <v>30</v>
      </c>
      <c r="D233" s="37">
        <v>11043.0</v>
      </c>
      <c r="E233" s="46">
        <v>5579.0</v>
      </c>
      <c r="F233" s="118">
        <v>4340.0</v>
      </c>
      <c r="G233" s="99"/>
      <c r="H233" s="16">
        <v>7370.0</v>
      </c>
      <c r="I233" s="43">
        <v>7429.0</v>
      </c>
      <c r="J233" s="119">
        <f t="shared" si="5"/>
        <v>35761</v>
      </c>
    </row>
    <row r="234">
      <c r="A234" s="22"/>
      <c r="B234" s="35" t="s">
        <v>235</v>
      </c>
      <c r="C234" s="35" t="s">
        <v>29</v>
      </c>
      <c r="D234" s="37">
        <v>10684.0</v>
      </c>
      <c r="E234" s="46">
        <v>15740.0</v>
      </c>
      <c r="F234" s="118">
        <v>6165.0</v>
      </c>
      <c r="G234" s="99"/>
      <c r="H234" s="16">
        <v>7306.0</v>
      </c>
      <c r="I234" s="43">
        <v>7617.0</v>
      </c>
      <c r="J234" s="119">
        <f t="shared" si="5"/>
        <v>47512</v>
      </c>
    </row>
    <row r="235">
      <c r="A235" s="22"/>
      <c r="B235" s="35" t="s">
        <v>236</v>
      </c>
      <c r="C235" s="35" t="s">
        <v>31</v>
      </c>
      <c r="D235" s="37">
        <v>10679.0</v>
      </c>
      <c r="E235" s="46">
        <v>14576.0</v>
      </c>
      <c r="F235" s="118">
        <v>5575.0</v>
      </c>
      <c r="G235" s="99"/>
      <c r="H235" s="16">
        <v>7489.0</v>
      </c>
      <c r="I235" s="43">
        <v>8506.0</v>
      </c>
      <c r="J235" s="119">
        <f t="shared" si="5"/>
        <v>46825</v>
      </c>
    </row>
    <row r="236">
      <c r="A236" s="22"/>
      <c r="B236" s="35" t="s">
        <v>237</v>
      </c>
      <c r="C236" s="35" t="s">
        <v>32</v>
      </c>
      <c r="D236" s="37">
        <v>0.0</v>
      </c>
      <c r="E236" s="46">
        <v>9057.0</v>
      </c>
      <c r="F236" s="118">
        <v>3315.0</v>
      </c>
      <c r="G236" s="99"/>
      <c r="H236" s="16">
        <v>7100.0</v>
      </c>
      <c r="I236" s="43">
        <v>4494.0</v>
      </c>
      <c r="J236" s="119">
        <f t="shared" si="5"/>
        <v>23966</v>
      </c>
    </row>
    <row r="237">
      <c r="A237" s="22"/>
      <c r="B237" s="35" t="s">
        <v>238</v>
      </c>
      <c r="C237" s="35" t="s">
        <v>34</v>
      </c>
      <c r="D237" s="43">
        <v>5558.0</v>
      </c>
      <c r="E237" s="46">
        <v>7162.0</v>
      </c>
      <c r="F237" s="118">
        <v>3270.0</v>
      </c>
      <c r="G237" s="99"/>
      <c r="H237" s="121">
        <v>5649.0</v>
      </c>
      <c r="I237" s="43">
        <v>6118.0</v>
      </c>
      <c r="J237" s="119">
        <f t="shared" si="5"/>
        <v>27757</v>
      </c>
    </row>
    <row r="238">
      <c r="A238" s="22"/>
      <c r="B238" s="35" t="s">
        <v>239</v>
      </c>
      <c r="C238" s="35" t="s">
        <v>35</v>
      </c>
      <c r="D238" s="43">
        <v>6393.0</v>
      </c>
      <c r="E238" s="46">
        <v>14173.0</v>
      </c>
      <c r="F238" s="118">
        <v>4955.0</v>
      </c>
      <c r="G238" s="99"/>
      <c r="H238" s="121">
        <v>2704.0</v>
      </c>
      <c r="I238" s="43">
        <v>8192.0</v>
      </c>
      <c r="J238" s="119">
        <f t="shared" si="5"/>
        <v>36417</v>
      </c>
    </row>
    <row r="239">
      <c r="A239" s="22"/>
      <c r="B239" s="35" t="s">
        <v>240</v>
      </c>
      <c r="C239" s="35" t="s">
        <v>36</v>
      </c>
      <c r="D239" s="37">
        <v>3956.0</v>
      </c>
      <c r="E239" s="46">
        <v>12953.0</v>
      </c>
      <c r="F239" s="118">
        <v>5325.0</v>
      </c>
      <c r="G239" s="99"/>
      <c r="H239" s="121">
        <v>4070.0</v>
      </c>
      <c r="I239" s="43">
        <v>7292.0</v>
      </c>
      <c r="J239" s="119">
        <f t="shared" si="5"/>
        <v>33596</v>
      </c>
    </row>
    <row r="240">
      <c r="A240" s="22"/>
      <c r="B240" s="35" t="s">
        <v>241</v>
      </c>
      <c r="C240" s="35" t="s">
        <v>30</v>
      </c>
      <c r="D240" s="37">
        <v>9928.0</v>
      </c>
      <c r="E240" s="46">
        <v>7909.0</v>
      </c>
      <c r="F240" s="118">
        <v>2940.0</v>
      </c>
      <c r="G240" s="99"/>
      <c r="H240" s="121">
        <v>7402.0</v>
      </c>
      <c r="I240" s="43">
        <v>7206.0</v>
      </c>
      <c r="J240" s="119">
        <f t="shared" si="5"/>
        <v>35385</v>
      </c>
    </row>
    <row r="241">
      <c r="A241" s="22"/>
      <c r="B241" s="35" t="s">
        <v>242</v>
      </c>
      <c r="C241" s="35" t="s">
        <v>29</v>
      </c>
      <c r="D241" s="37">
        <v>15828.0</v>
      </c>
      <c r="E241" s="46">
        <v>14432.0</v>
      </c>
      <c r="F241" s="118">
        <v>3630.0</v>
      </c>
      <c r="G241" s="99"/>
      <c r="H241" s="121">
        <v>9493.0</v>
      </c>
      <c r="I241" s="43">
        <v>8013.0</v>
      </c>
      <c r="J241" s="119">
        <f t="shared" si="5"/>
        <v>51396</v>
      </c>
    </row>
    <row r="242">
      <c r="A242" s="22"/>
      <c r="B242" s="35" t="s">
        <v>243</v>
      </c>
      <c r="C242" s="35" t="s">
        <v>31</v>
      </c>
      <c r="D242" s="37">
        <v>12722.0</v>
      </c>
      <c r="E242" s="46">
        <v>18759.0</v>
      </c>
      <c r="F242" s="118">
        <v>4795.0</v>
      </c>
      <c r="G242" s="99"/>
      <c r="H242" s="121">
        <v>10839.0</v>
      </c>
      <c r="I242" s="37">
        <v>9826.0</v>
      </c>
      <c r="J242" s="119">
        <f t="shared" si="5"/>
        <v>56941</v>
      </c>
    </row>
    <row r="243">
      <c r="A243" s="22"/>
      <c r="B243" s="35" t="s">
        <v>244</v>
      </c>
      <c r="C243" s="35" t="s">
        <v>32</v>
      </c>
      <c r="D243" s="51">
        <v>7392.0</v>
      </c>
      <c r="E243" s="46">
        <v>5415.0</v>
      </c>
      <c r="F243" s="118">
        <v>1540.0</v>
      </c>
      <c r="G243" s="99"/>
      <c r="H243" s="121">
        <v>5390.0</v>
      </c>
      <c r="I243" s="51">
        <v>7239.0</v>
      </c>
      <c r="J243" s="119">
        <f t="shared" si="5"/>
        <v>26976</v>
      </c>
    </row>
    <row r="244">
      <c r="A244" s="22"/>
      <c r="B244" s="35" t="s">
        <v>245</v>
      </c>
      <c r="C244" s="35" t="s">
        <v>34</v>
      </c>
      <c r="D244" s="51">
        <v>0.0</v>
      </c>
      <c r="E244" s="46">
        <v>13433.0</v>
      </c>
      <c r="F244" s="118">
        <v>3530.0</v>
      </c>
      <c r="G244" s="99"/>
      <c r="H244" s="121">
        <v>4388.0</v>
      </c>
      <c r="I244" s="51">
        <v>6698.0</v>
      </c>
      <c r="J244" s="119">
        <f t="shared" si="5"/>
        <v>28049</v>
      </c>
    </row>
    <row r="245">
      <c r="A245" s="22"/>
      <c r="B245" s="35" t="s">
        <v>246</v>
      </c>
      <c r="C245" s="35" t="s">
        <v>35</v>
      </c>
      <c r="D245" s="51">
        <v>8483.0</v>
      </c>
      <c r="E245" s="46">
        <v>8882.0</v>
      </c>
      <c r="F245" s="118">
        <v>3985.0</v>
      </c>
      <c r="G245" s="99"/>
      <c r="H245" s="121">
        <v>3430.0</v>
      </c>
      <c r="I245" s="51">
        <v>6104.0</v>
      </c>
      <c r="J245" s="119">
        <f t="shared" si="5"/>
        <v>30884</v>
      </c>
    </row>
    <row r="246">
      <c r="A246" s="22"/>
      <c r="B246" s="35" t="s">
        <v>247</v>
      </c>
      <c r="C246" s="35" t="s">
        <v>36</v>
      </c>
      <c r="D246" s="51"/>
      <c r="E246" s="46">
        <v>12570.0</v>
      </c>
      <c r="F246" s="118">
        <v>2390.0</v>
      </c>
      <c r="G246" s="99"/>
      <c r="H246" s="121">
        <v>5697.0</v>
      </c>
      <c r="I246" s="51">
        <v>5836.0</v>
      </c>
      <c r="J246" s="119">
        <f t="shared" si="5"/>
        <v>26493</v>
      </c>
    </row>
    <row r="247">
      <c r="A247" s="22"/>
      <c r="B247" s="35" t="s">
        <v>248</v>
      </c>
      <c r="C247" s="35" t="s">
        <v>30</v>
      </c>
      <c r="D247" s="51">
        <v>10327.0</v>
      </c>
      <c r="E247" s="46">
        <v>8529.0</v>
      </c>
      <c r="F247" s="118">
        <v>3670.0</v>
      </c>
      <c r="G247" s="99"/>
      <c r="H247" s="121">
        <v>6172.0</v>
      </c>
      <c r="I247" s="51">
        <v>3328.0</v>
      </c>
      <c r="J247" s="119">
        <f t="shared" si="5"/>
        <v>32026</v>
      </c>
    </row>
    <row r="248">
      <c r="A248" s="22"/>
      <c r="B248" s="35" t="s">
        <v>249</v>
      </c>
      <c r="C248" s="35" t="s">
        <v>29</v>
      </c>
      <c r="D248" s="51">
        <v>13197.0</v>
      </c>
      <c r="E248" s="46">
        <v>14105.0</v>
      </c>
      <c r="F248" s="118">
        <v>7010.0</v>
      </c>
      <c r="G248" s="99"/>
      <c r="H248" s="121">
        <v>4654.0</v>
      </c>
      <c r="I248" s="51">
        <v>6889.0</v>
      </c>
      <c r="J248" s="119">
        <f t="shared" si="5"/>
        <v>45855</v>
      </c>
    </row>
    <row r="249">
      <c r="A249" s="22"/>
      <c r="B249" s="35" t="s">
        <v>250</v>
      </c>
      <c r="C249" s="35" t="s">
        <v>31</v>
      </c>
      <c r="D249" s="51">
        <v>16444.0</v>
      </c>
      <c r="E249" s="46">
        <v>13470.0</v>
      </c>
      <c r="F249" s="118">
        <v>3775.0</v>
      </c>
      <c r="G249" s="99"/>
      <c r="H249" s="121">
        <v>3708.0</v>
      </c>
      <c r="I249" s="51">
        <v>4803.0</v>
      </c>
      <c r="J249" s="119">
        <f t="shared" si="5"/>
        <v>42200</v>
      </c>
    </row>
    <row r="250">
      <c r="A250" s="22"/>
      <c r="B250" s="35" t="s">
        <v>251</v>
      </c>
      <c r="C250" s="35" t="s">
        <v>32</v>
      </c>
      <c r="D250" s="51">
        <v>0.0</v>
      </c>
      <c r="E250" s="46">
        <v>7111.0</v>
      </c>
      <c r="F250" s="118">
        <v>5785.0</v>
      </c>
      <c r="G250" s="99"/>
      <c r="H250" s="121">
        <v>4522.0</v>
      </c>
      <c r="I250" s="51">
        <v>4208.0</v>
      </c>
      <c r="J250" s="119">
        <f t="shared" si="5"/>
        <v>21626</v>
      </c>
    </row>
    <row r="251">
      <c r="A251" s="22"/>
      <c r="B251" s="35" t="s">
        <v>252</v>
      </c>
      <c r="C251" s="35" t="s">
        <v>34</v>
      </c>
      <c r="D251" s="51">
        <v>11533.0</v>
      </c>
      <c r="E251" s="51">
        <v>0.0</v>
      </c>
      <c r="F251" s="118">
        <v>2250.0</v>
      </c>
      <c r="G251" s="99"/>
      <c r="H251" s="121">
        <v>6275.0</v>
      </c>
      <c r="I251" s="51">
        <v>5111.0</v>
      </c>
      <c r="J251" s="119">
        <f t="shared" si="5"/>
        <v>25169</v>
      </c>
    </row>
    <row r="252">
      <c r="A252" s="64"/>
      <c r="B252" s="65"/>
      <c r="C252" s="65"/>
      <c r="D252" s="66">
        <f t="shared" ref="D252:F252" si="6">sum(D222:D251)</f>
        <v>263789</v>
      </c>
      <c r="E252" s="66">
        <f t="shared" si="6"/>
        <v>331469</v>
      </c>
      <c r="F252" s="133">
        <f t="shared" si="6"/>
        <v>134278</v>
      </c>
      <c r="G252" s="99"/>
      <c r="H252" s="66">
        <f t="shared" ref="H252:J252" si="7">sum(H222:H251)</f>
        <v>181746</v>
      </c>
      <c r="I252" s="66">
        <f t="shared" si="7"/>
        <v>217416</v>
      </c>
      <c r="J252" s="125">
        <f t="shared" si="7"/>
        <v>1128698</v>
      </c>
    </row>
    <row r="253">
      <c r="A253" s="60" t="s">
        <v>37</v>
      </c>
      <c r="B253" s="69">
        <v>46029.0</v>
      </c>
      <c r="C253" s="70" t="s">
        <v>35</v>
      </c>
      <c r="D253" s="42">
        <v>6573.0</v>
      </c>
      <c r="E253" s="30">
        <v>6423.0</v>
      </c>
      <c r="F253" s="118">
        <v>3390.0</v>
      </c>
      <c r="G253" s="99"/>
      <c r="H253" s="127">
        <v>5530.0</v>
      </c>
      <c r="I253" s="37">
        <v>4462.0</v>
      </c>
      <c r="J253" s="29">
        <f t="shared" ref="J253:J348" si="8">SUM(D253:I253)</f>
        <v>26378</v>
      </c>
    </row>
    <row r="254">
      <c r="A254" s="22"/>
      <c r="B254" s="69">
        <v>46060.0</v>
      </c>
      <c r="C254" s="70" t="s">
        <v>36</v>
      </c>
      <c r="D254" s="42">
        <v>7345.0</v>
      </c>
      <c r="E254" s="30">
        <v>8643.0</v>
      </c>
      <c r="F254" s="118">
        <v>3115.0</v>
      </c>
      <c r="G254" s="99"/>
      <c r="H254" s="127">
        <v>6484.0</v>
      </c>
      <c r="I254" s="37">
        <v>5294.0</v>
      </c>
      <c r="J254" s="29">
        <f t="shared" si="8"/>
        <v>30881</v>
      </c>
    </row>
    <row r="255">
      <c r="A255" s="22"/>
      <c r="B255" s="69">
        <v>46088.0</v>
      </c>
      <c r="C255" s="70" t="s">
        <v>30</v>
      </c>
      <c r="D255" s="42">
        <v>10713.0</v>
      </c>
      <c r="E255" s="30">
        <v>13323.0</v>
      </c>
      <c r="F255" s="118">
        <v>7070.0</v>
      </c>
      <c r="G255" s="99"/>
      <c r="H255" s="127">
        <v>5250.0</v>
      </c>
      <c r="I255" s="37">
        <v>6417.0</v>
      </c>
      <c r="J255" s="29">
        <f t="shared" si="8"/>
        <v>42773</v>
      </c>
    </row>
    <row r="256">
      <c r="A256" s="22"/>
      <c r="B256" s="69">
        <v>46119.0</v>
      </c>
      <c r="C256" s="70" t="s">
        <v>29</v>
      </c>
      <c r="D256" s="42">
        <v>9508.0</v>
      </c>
      <c r="E256" s="30">
        <v>13962.0</v>
      </c>
      <c r="F256" s="118">
        <v>7095.0</v>
      </c>
      <c r="G256" s="99"/>
      <c r="H256" s="127">
        <v>6027.0</v>
      </c>
      <c r="I256" s="37">
        <v>5972.0</v>
      </c>
      <c r="J256" s="29">
        <f t="shared" si="8"/>
        <v>42564</v>
      </c>
    </row>
    <row r="257">
      <c r="A257" s="22"/>
      <c r="B257" s="69">
        <v>46149.0</v>
      </c>
      <c r="C257" s="70" t="s">
        <v>31</v>
      </c>
      <c r="D257" s="42">
        <v>12093.0</v>
      </c>
      <c r="E257" s="30">
        <v>14570.0</v>
      </c>
      <c r="F257" s="118">
        <v>7240.0</v>
      </c>
      <c r="G257" s="99"/>
      <c r="H257" s="127">
        <v>7760.0</v>
      </c>
      <c r="I257" s="37">
        <v>10454.0</v>
      </c>
      <c r="J257" s="29">
        <f t="shared" si="8"/>
        <v>52117</v>
      </c>
    </row>
    <row r="258">
      <c r="A258" s="22"/>
      <c r="B258" s="69">
        <v>46180.0</v>
      </c>
      <c r="C258" s="70" t="s">
        <v>32</v>
      </c>
      <c r="D258" s="42">
        <v>0.0</v>
      </c>
      <c r="E258" s="30">
        <v>9107.0</v>
      </c>
      <c r="F258" s="118">
        <v>2530.0</v>
      </c>
      <c r="G258" s="99"/>
      <c r="H258" s="127">
        <v>5725.0</v>
      </c>
      <c r="I258" s="37">
        <v>4464.0</v>
      </c>
      <c r="J258" s="29">
        <f t="shared" si="8"/>
        <v>21826</v>
      </c>
    </row>
    <row r="259">
      <c r="A259" s="22"/>
      <c r="B259" s="69">
        <v>46210.0</v>
      </c>
      <c r="C259" s="70" t="s">
        <v>34</v>
      </c>
      <c r="D259" s="42">
        <v>4730.0</v>
      </c>
      <c r="E259" s="30">
        <v>9459.0</v>
      </c>
      <c r="F259" s="118">
        <v>2090.0</v>
      </c>
      <c r="G259" s="99"/>
      <c r="H259" s="127">
        <v>4738.0</v>
      </c>
      <c r="I259" s="37">
        <v>3476.0</v>
      </c>
      <c r="J259" s="29">
        <f t="shared" si="8"/>
        <v>24493</v>
      </c>
    </row>
    <row r="260">
      <c r="A260" s="22"/>
      <c r="B260" s="69">
        <v>46241.0</v>
      </c>
      <c r="C260" s="70" t="s">
        <v>35</v>
      </c>
      <c r="D260" s="42">
        <v>8048.0</v>
      </c>
      <c r="E260" s="30">
        <v>13299.0</v>
      </c>
      <c r="F260" s="118">
        <v>2020.0</v>
      </c>
      <c r="G260" s="99"/>
      <c r="H260" s="127">
        <v>378.0</v>
      </c>
      <c r="I260" s="37">
        <v>3813.0</v>
      </c>
      <c r="J260" s="29">
        <f t="shared" si="8"/>
        <v>27558</v>
      </c>
    </row>
    <row r="261">
      <c r="A261" s="22"/>
      <c r="B261" s="69">
        <v>46272.0</v>
      </c>
      <c r="C261" s="70" t="s">
        <v>36</v>
      </c>
      <c r="D261" s="42">
        <v>7746.0</v>
      </c>
      <c r="E261" s="30">
        <v>10359.0</v>
      </c>
      <c r="F261" s="118">
        <v>5040.0</v>
      </c>
      <c r="G261" s="99"/>
      <c r="H261" s="127">
        <v>4617.0</v>
      </c>
      <c r="I261" s="37">
        <v>4422.0</v>
      </c>
      <c r="J261" s="29">
        <f t="shared" si="8"/>
        <v>32184</v>
      </c>
    </row>
    <row r="262">
      <c r="A262" s="22"/>
      <c r="B262" s="69">
        <v>46302.0</v>
      </c>
      <c r="C262" s="70" t="s">
        <v>30</v>
      </c>
      <c r="D262" s="42">
        <v>7348.0</v>
      </c>
      <c r="E262" s="30">
        <v>10107.0</v>
      </c>
      <c r="F262" s="118">
        <v>5845.0</v>
      </c>
      <c r="G262" s="99"/>
      <c r="H262" s="127">
        <v>5594.0</v>
      </c>
      <c r="I262" s="37">
        <v>5465.0</v>
      </c>
      <c r="J262" s="29">
        <f t="shared" si="8"/>
        <v>34359</v>
      </c>
    </row>
    <row r="263">
      <c r="A263" s="22"/>
      <c r="B263" s="69">
        <v>46333.0</v>
      </c>
      <c r="C263" s="70" t="s">
        <v>29</v>
      </c>
      <c r="D263" s="42">
        <v>10802.0</v>
      </c>
      <c r="E263" s="30">
        <v>12558.0</v>
      </c>
      <c r="F263" s="118">
        <v>5250.0</v>
      </c>
      <c r="G263" s="99"/>
      <c r="H263" s="127">
        <v>6746.0</v>
      </c>
      <c r="I263" s="37">
        <v>8216.0</v>
      </c>
      <c r="J263" s="29">
        <f t="shared" si="8"/>
        <v>43572</v>
      </c>
    </row>
    <row r="264">
      <c r="A264" s="22"/>
      <c r="B264" s="69">
        <v>46363.0</v>
      </c>
      <c r="C264" s="70" t="s">
        <v>31</v>
      </c>
      <c r="D264" s="42">
        <v>6865.0</v>
      </c>
      <c r="E264" s="30">
        <v>12327.0</v>
      </c>
      <c r="F264" s="118">
        <v>6420.0</v>
      </c>
      <c r="G264" s="99"/>
      <c r="H264" s="127">
        <v>2516.0</v>
      </c>
      <c r="I264" s="37">
        <v>4860.0</v>
      </c>
      <c r="J264" s="29">
        <f t="shared" si="8"/>
        <v>32988</v>
      </c>
    </row>
    <row r="265">
      <c r="A265" s="22"/>
      <c r="B265" s="71" t="s">
        <v>59</v>
      </c>
      <c r="C265" s="70" t="s">
        <v>32</v>
      </c>
      <c r="D265" s="42">
        <v>0.0</v>
      </c>
      <c r="E265" s="30">
        <v>6643.0</v>
      </c>
      <c r="F265" s="118">
        <v>2575.0</v>
      </c>
      <c r="G265" s="99"/>
      <c r="H265" s="127">
        <v>5133.0</v>
      </c>
      <c r="I265" s="37">
        <v>2909.0</v>
      </c>
      <c r="J265" s="29">
        <f t="shared" si="8"/>
        <v>17260</v>
      </c>
    </row>
    <row r="266">
      <c r="A266" s="22"/>
      <c r="B266" s="71" t="s">
        <v>64</v>
      </c>
      <c r="C266" s="70" t="s">
        <v>34</v>
      </c>
      <c r="D266" s="42">
        <v>4941.0</v>
      </c>
      <c r="E266" s="30">
        <v>8072.0</v>
      </c>
      <c r="F266" s="118">
        <v>4250.0</v>
      </c>
      <c r="G266" s="99"/>
      <c r="H266" s="127">
        <v>3827.0</v>
      </c>
      <c r="I266" s="37">
        <v>2513.0</v>
      </c>
      <c r="J266" s="29">
        <f t="shared" si="8"/>
        <v>23603</v>
      </c>
    </row>
    <row r="267">
      <c r="A267" s="22"/>
      <c r="B267" s="71" t="s">
        <v>65</v>
      </c>
      <c r="C267" s="70" t="s">
        <v>35</v>
      </c>
      <c r="D267" s="42">
        <v>9449.0</v>
      </c>
      <c r="E267" s="42">
        <v>11097.0</v>
      </c>
      <c r="F267" s="118">
        <v>4515.0</v>
      </c>
      <c r="G267" s="99"/>
      <c r="H267" s="127">
        <v>3074.0</v>
      </c>
      <c r="I267" s="37">
        <v>4673.0</v>
      </c>
      <c r="J267" s="29">
        <f t="shared" si="8"/>
        <v>32808</v>
      </c>
    </row>
    <row r="268">
      <c r="A268" s="22"/>
      <c r="B268" s="71" t="s">
        <v>66</v>
      </c>
      <c r="C268" s="70" t="s">
        <v>36</v>
      </c>
      <c r="D268" s="42">
        <v>0.0</v>
      </c>
      <c r="E268" s="42">
        <v>4737.0</v>
      </c>
      <c r="F268" s="118">
        <v>3600.0</v>
      </c>
      <c r="G268" s="99"/>
      <c r="H268" s="127">
        <v>6916.0</v>
      </c>
      <c r="I268" s="37">
        <v>3796.0</v>
      </c>
      <c r="J268" s="29">
        <f t="shared" si="8"/>
        <v>19049</v>
      </c>
    </row>
    <row r="269">
      <c r="A269" s="22"/>
      <c r="B269" s="71" t="s">
        <v>67</v>
      </c>
      <c r="C269" s="70" t="s">
        <v>30</v>
      </c>
      <c r="D269" s="42">
        <v>2266.0</v>
      </c>
      <c r="E269" s="42">
        <v>9986.0</v>
      </c>
      <c r="F269" s="118">
        <v>6445.0</v>
      </c>
      <c r="G269" s="99"/>
      <c r="H269" s="127">
        <v>5332.0</v>
      </c>
      <c r="I269" s="37">
        <v>3115.0</v>
      </c>
      <c r="J269" s="29">
        <f t="shared" si="8"/>
        <v>27144</v>
      </c>
    </row>
    <row r="270">
      <c r="A270" s="22"/>
      <c r="B270" s="71" t="s">
        <v>68</v>
      </c>
      <c r="C270" s="70" t="s">
        <v>29</v>
      </c>
      <c r="D270" s="42">
        <v>8960.0</v>
      </c>
      <c r="E270" s="42">
        <v>11847.0</v>
      </c>
      <c r="F270" s="118">
        <v>5675.0</v>
      </c>
      <c r="G270" s="99"/>
      <c r="H270" s="127">
        <v>6727.0</v>
      </c>
      <c r="I270" s="37">
        <v>7878.0</v>
      </c>
      <c r="J270" s="29">
        <f t="shared" si="8"/>
        <v>41087</v>
      </c>
    </row>
    <row r="271">
      <c r="A271" s="22"/>
      <c r="B271" s="71" t="s">
        <v>69</v>
      </c>
      <c r="C271" s="70" t="s">
        <v>31</v>
      </c>
      <c r="D271" s="42">
        <v>8242.0</v>
      </c>
      <c r="E271" s="42">
        <v>12851.0</v>
      </c>
      <c r="F271" s="118">
        <v>6575.0</v>
      </c>
      <c r="G271" s="99"/>
      <c r="H271" s="131">
        <v>6389.0</v>
      </c>
      <c r="I271" s="37">
        <v>5318.0</v>
      </c>
      <c r="J271" s="29">
        <f t="shared" si="8"/>
        <v>39375</v>
      </c>
    </row>
    <row r="272">
      <c r="A272" s="22"/>
      <c r="B272" s="71" t="s">
        <v>70</v>
      </c>
      <c r="C272" s="70" t="s">
        <v>32</v>
      </c>
      <c r="D272" s="42">
        <v>8007.0</v>
      </c>
      <c r="E272" s="42">
        <v>11289.0</v>
      </c>
      <c r="F272" s="118">
        <v>3455.0</v>
      </c>
      <c r="G272" s="99"/>
      <c r="H272" s="131">
        <v>4018.0</v>
      </c>
      <c r="I272" s="37">
        <v>4505.0</v>
      </c>
      <c r="J272" s="29">
        <f t="shared" si="8"/>
        <v>31274</v>
      </c>
    </row>
    <row r="273">
      <c r="A273" s="22"/>
      <c r="B273" s="71" t="s">
        <v>72</v>
      </c>
      <c r="C273" s="70" t="s">
        <v>34</v>
      </c>
      <c r="D273" s="131">
        <v>4462.0</v>
      </c>
      <c r="E273" s="131">
        <v>7962.0</v>
      </c>
      <c r="F273" s="118">
        <v>2045.0</v>
      </c>
      <c r="G273" s="99"/>
      <c r="H273" s="131">
        <v>3383.0</v>
      </c>
      <c r="I273" s="37">
        <v>4018.0</v>
      </c>
      <c r="J273" s="29">
        <f t="shared" si="8"/>
        <v>21870</v>
      </c>
    </row>
    <row r="274">
      <c r="A274" s="22"/>
      <c r="B274" s="71" t="s">
        <v>74</v>
      </c>
      <c r="C274" s="70" t="s">
        <v>35</v>
      </c>
      <c r="D274" s="131">
        <v>3708.0</v>
      </c>
      <c r="E274" s="131">
        <v>6224.0</v>
      </c>
      <c r="F274" s="118">
        <v>2385.0</v>
      </c>
      <c r="G274" s="99"/>
      <c r="H274" s="131">
        <v>2627.0</v>
      </c>
      <c r="I274" s="51">
        <v>3115.0</v>
      </c>
      <c r="J274" s="29">
        <f t="shared" si="8"/>
        <v>18059</v>
      </c>
    </row>
    <row r="275">
      <c r="A275" s="22"/>
      <c r="B275" s="71" t="s">
        <v>76</v>
      </c>
      <c r="C275" s="70" t="s">
        <v>36</v>
      </c>
      <c r="D275" s="131">
        <v>6013.0</v>
      </c>
      <c r="E275" s="131">
        <v>11034.0</v>
      </c>
      <c r="F275" s="118">
        <v>3335.0</v>
      </c>
      <c r="G275" s="99"/>
      <c r="H275" s="132">
        <v>3951.0</v>
      </c>
      <c r="I275" s="51">
        <v>4197.0</v>
      </c>
      <c r="J275" s="55">
        <f t="shared" si="8"/>
        <v>28530</v>
      </c>
    </row>
    <row r="276">
      <c r="A276" s="22"/>
      <c r="B276" s="71" t="s">
        <v>78</v>
      </c>
      <c r="C276" s="70" t="s">
        <v>30</v>
      </c>
      <c r="D276" s="131">
        <v>6798.0</v>
      </c>
      <c r="E276" s="131">
        <v>6578.0</v>
      </c>
      <c r="F276" s="118">
        <v>3935.0</v>
      </c>
      <c r="G276" s="99"/>
      <c r="H276" s="132">
        <v>2357.0</v>
      </c>
      <c r="I276" s="51">
        <v>3728.0</v>
      </c>
      <c r="J276" s="29">
        <f t="shared" si="8"/>
        <v>23396</v>
      </c>
    </row>
    <row r="277">
      <c r="A277" s="22"/>
      <c r="B277" s="71" t="s">
        <v>80</v>
      </c>
      <c r="C277" s="70" t="s">
        <v>29</v>
      </c>
      <c r="D277" s="132">
        <v>9875.0</v>
      </c>
      <c r="E277" s="132">
        <v>20243.0</v>
      </c>
      <c r="F277" s="118">
        <v>5860.0</v>
      </c>
      <c r="G277" s="99"/>
      <c r="H277" s="132">
        <v>5234.0</v>
      </c>
      <c r="I277" s="51">
        <v>5970.0</v>
      </c>
      <c r="J277" s="29">
        <f t="shared" si="8"/>
        <v>47182</v>
      </c>
    </row>
    <row r="278">
      <c r="A278" s="22"/>
      <c r="B278" s="71" t="s">
        <v>81</v>
      </c>
      <c r="C278" s="70" t="s">
        <v>31</v>
      </c>
      <c r="D278" s="132">
        <v>11975.0</v>
      </c>
      <c r="E278" s="132">
        <v>11976.0</v>
      </c>
      <c r="F278" s="118">
        <v>5600.0</v>
      </c>
      <c r="G278" s="99"/>
      <c r="H278" s="132">
        <v>4438.0</v>
      </c>
      <c r="I278" s="51">
        <v>4909.0</v>
      </c>
      <c r="J278" s="29">
        <f t="shared" si="8"/>
        <v>38898</v>
      </c>
    </row>
    <row r="279">
      <c r="A279" s="22"/>
      <c r="B279" s="71" t="s">
        <v>83</v>
      </c>
      <c r="C279" s="70" t="s">
        <v>32</v>
      </c>
      <c r="D279" s="132">
        <v>0.0</v>
      </c>
      <c r="E279" s="132">
        <v>6022.0</v>
      </c>
      <c r="F279" s="118">
        <v>2970.0</v>
      </c>
      <c r="G279" s="99"/>
      <c r="H279" s="132">
        <v>3447.0</v>
      </c>
      <c r="I279" s="51">
        <v>3451.0</v>
      </c>
      <c r="J279" s="29">
        <f t="shared" si="8"/>
        <v>15890</v>
      </c>
    </row>
    <row r="280">
      <c r="A280" s="22"/>
      <c r="B280" s="71" t="s">
        <v>85</v>
      </c>
      <c r="C280" s="70" t="s">
        <v>34</v>
      </c>
      <c r="D280" s="132">
        <v>7981.0</v>
      </c>
      <c r="E280" s="132">
        <v>8145.0</v>
      </c>
      <c r="F280" s="118">
        <v>3780.0</v>
      </c>
      <c r="G280" s="99"/>
      <c r="H280" s="132">
        <v>2577.0</v>
      </c>
      <c r="I280" s="51">
        <v>4330.0</v>
      </c>
      <c r="J280" s="29">
        <f t="shared" si="8"/>
        <v>26813</v>
      </c>
    </row>
    <row r="281">
      <c r="A281" s="22"/>
      <c r="B281" s="71" t="s">
        <v>87</v>
      </c>
      <c r="C281" s="70" t="s">
        <v>35</v>
      </c>
      <c r="D281" s="132">
        <v>8285.0</v>
      </c>
      <c r="E281" s="132">
        <v>15080.0</v>
      </c>
      <c r="F281" s="118">
        <v>3970.0</v>
      </c>
      <c r="G281" s="99"/>
      <c r="H281" s="132">
        <v>5847.0</v>
      </c>
      <c r="I281" s="51">
        <v>8214.0</v>
      </c>
      <c r="J281" s="29">
        <f t="shared" si="8"/>
        <v>41396</v>
      </c>
    </row>
    <row r="282">
      <c r="A282" s="22"/>
      <c r="B282" s="71" t="s">
        <v>90</v>
      </c>
      <c r="C282" s="70" t="s">
        <v>36</v>
      </c>
      <c r="D282" s="132">
        <v>6014.0</v>
      </c>
      <c r="E282" s="132">
        <v>7778.0</v>
      </c>
      <c r="F282" s="118">
        <v>3955.0</v>
      </c>
      <c r="G282" s="99"/>
      <c r="H282" s="132">
        <v>2091.0</v>
      </c>
      <c r="I282" s="51">
        <v>2608.0</v>
      </c>
      <c r="J282" s="29">
        <f t="shared" si="8"/>
        <v>22446</v>
      </c>
    </row>
    <row r="283">
      <c r="A283" s="22"/>
      <c r="B283" s="71" t="s">
        <v>92</v>
      </c>
      <c r="C283" s="70" t="s">
        <v>30</v>
      </c>
      <c r="D283" s="134">
        <v>10786.0</v>
      </c>
      <c r="E283" s="134">
        <v>18896.0</v>
      </c>
      <c r="F283" s="118">
        <v>3780.0</v>
      </c>
      <c r="G283" s="99"/>
      <c r="H283" s="134">
        <v>3005.0</v>
      </c>
      <c r="I283" s="51">
        <v>2340.0</v>
      </c>
      <c r="J283" s="29">
        <f t="shared" si="8"/>
        <v>38807</v>
      </c>
    </row>
    <row r="284">
      <c r="A284" s="49"/>
      <c r="B284" s="78"/>
      <c r="C284" s="79"/>
      <c r="D284" s="66">
        <f t="shared" ref="D284:E284" si="9">SUM(D253:D283)</f>
        <v>209533</v>
      </c>
      <c r="E284" s="66">
        <f t="shared" si="9"/>
        <v>330597</v>
      </c>
      <c r="F284" s="133">
        <f>SUM(F253:G283)</f>
        <v>135810</v>
      </c>
      <c r="G284" s="99"/>
      <c r="H284" s="66">
        <f t="shared" ref="H284:I284" si="10">SUM(H253:H283)</f>
        <v>141738</v>
      </c>
      <c r="I284" s="66">
        <f t="shared" si="10"/>
        <v>148902</v>
      </c>
      <c r="J284" s="29">
        <f t="shared" si="8"/>
        <v>966580</v>
      </c>
    </row>
    <row r="285">
      <c r="A285" s="60" t="s">
        <v>99</v>
      </c>
      <c r="B285" s="69">
        <v>46030.0</v>
      </c>
      <c r="C285" s="70" t="s">
        <v>29</v>
      </c>
      <c r="D285" s="42">
        <v>10477.0</v>
      </c>
      <c r="E285" s="30">
        <v>15357.0</v>
      </c>
      <c r="F285" s="118">
        <v>6295.0</v>
      </c>
      <c r="G285" s="99"/>
      <c r="H285" s="127">
        <v>9648.0</v>
      </c>
      <c r="I285" s="37">
        <v>7917.0</v>
      </c>
      <c r="J285" s="29">
        <f t="shared" si="8"/>
        <v>49694</v>
      </c>
    </row>
    <row r="286">
      <c r="A286" s="22"/>
      <c r="B286" s="69">
        <v>46061.0</v>
      </c>
      <c r="C286" s="70" t="s">
        <v>31</v>
      </c>
      <c r="D286" s="42">
        <v>10881.0</v>
      </c>
      <c r="E286" s="30">
        <v>15920.0</v>
      </c>
      <c r="F286" s="118">
        <v>4890.0</v>
      </c>
      <c r="G286" s="99"/>
      <c r="H286" s="127">
        <v>6695.0</v>
      </c>
      <c r="I286" s="37">
        <v>4385.0</v>
      </c>
      <c r="J286" s="29">
        <f t="shared" si="8"/>
        <v>42771</v>
      </c>
    </row>
    <row r="287">
      <c r="A287" s="22"/>
      <c r="B287" s="69">
        <v>46089.0</v>
      </c>
      <c r="C287" s="70" t="s">
        <v>32</v>
      </c>
      <c r="D287" s="42">
        <v>0.0</v>
      </c>
      <c r="E287" s="30">
        <v>6002.0</v>
      </c>
      <c r="F287" s="118">
        <v>4085.0</v>
      </c>
      <c r="G287" s="99"/>
      <c r="H287" s="127">
        <v>3990.0</v>
      </c>
      <c r="I287" s="37">
        <v>3673.0</v>
      </c>
      <c r="J287" s="29">
        <f t="shared" si="8"/>
        <v>17750</v>
      </c>
    </row>
    <row r="288">
      <c r="A288" s="22"/>
      <c r="B288" s="69">
        <v>46120.0</v>
      </c>
      <c r="C288" s="70" t="s">
        <v>34</v>
      </c>
      <c r="D288" s="42">
        <v>0.0</v>
      </c>
      <c r="E288" s="30">
        <v>9110.0</v>
      </c>
      <c r="F288" s="118">
        <v>0.0</v>
      </c>
      <c r="G288" s="99"/>
      <c r="H288" s="127">
        <v>3531.0</v>
      </c>
      <c r="I288" s="37">
        <v>5661.0</v>
      </c>
      <c r="J288" s="29">
        <f t="shared" si="8"/>
        <v>18302</v>
      </c>
    </row>
    <row r="289">
      <c r="A289" s="22"/>
      <c r="B289" s="69">
        <v>46150.0</v>
      </c>
      <c r="C289" s="70" t="s">
        <v>35</v>
      </c>
      <c r="D289" s="42">
        <v>0.0</v>
      </c>
      <c r="E289" s="30">
        <v>5339.0</v>
      </c>
      <c r="F289" s="118">
        <v>3545.0</v>
      </c>
      <c r="G289" s="99"/>
      <c r="H289" s="144">
        <v>6323.0</v>
      </c>
      <c r="I289" s="37">
        <v>4345.0</v>
      </c>
      <c r="J289" s="29">
        <f t="shared" si="8"/>
        <v>19552</v>
      </c>
    </row>
    <row r="290">
      <c r="A290" s="22"/>
      <c r="B290" s="69">
        <v>46181.0</v>
      </c>
      <c r="C290" s="70" t="s">
        <v>36</v>
      </c>
      <c r="D290" s="42">
        <v>0.0</v>
      </c>
      <c r="E290" s="30">
        <v>11457.0</v>
      </c>
      <c r="F290" s="118">
        <v>2855.0</v>
      </c>
      <c r="G290" s="99"/>
      <c r="H290" s="144">
        <v>4050.0</v>
      </c>
      <c r="I290" s="37">
        <v>5219.0</v>
      </c>
      <c r="J290" s="29">
        <f t="shared" si="8"/>
        <v>23581</v>
      </c>
    </row>
    <row r="291">
      <c r="A291" s="22"/>
      <c r="B291" s="69">
        <v>46211.0</v>
      </c>
      <c r="C291" s="70" t="s">
        <v>30</v>
      </c>
      <c r="D291" s="42">
        <v>0.0</v>
      </c>
      <c r="E291" s="30">
        <v>6212.0</v>
      </c>
      <c r="F291" s="118">
        <v>1205.0</v>
      </c>
      <c r="G291" s="99"/>
      <c r="H291" s="144">
        <v>3243.0</v>
      </c>
      <c r="I291" s="37">
        <v>2355.0</v>
      </c>
      <c r="J291" s="29">
        <f t="shared" si="8"/>
        <v>13015</v>
      </c>
    </row>
    <row r="292">
      <c r="A292" s="22"/>
      <c r="B292" s="69">
        <v>46242.0</v>
      </c>
      <c r="C292" s="70" t="s">
        <v>29</v>
      </c>
      <c r="D292" s="42">
        <v>0.0</v>
      </c>
      <c r="E292" s="30">
        <v>11771.0</v>
      </c>
      <c r="F292" s="118">
        <v>7780.0</v>
      </c>
      <c r="G292" s="99"/>
      <c r="H292" s="144">
        <v>5792.0</v>
      </c>
      <c r="I292" s="37">
        <v>5447.0</v>
      </c>
      <c r="J292" s="29">
        <f t="shared" si="8"/>
        <v>30790</v>
      </c>
    </row>
    <row r="293">
      <c r="A293" s="22"/>
      <c r="B293" s="69">
        <v>46273.0</v>
      </c>
      <c r="C293" s="70" t="s">
        <v>31</v>
      </c>
      <c r="D293" s="42">
        <v>0.0</v>
      </c>
      <c r="E293" s="30">
        <v>13836.0</v>
      </c>
      <c r="F293" s="118">
        <v>7140.0</v>
      </c>
      <c r="G293" s="99"/>
      <c r="H293" s="144">
        <v>5210.0</v>
      </c>
      <c r="I293" s="37">
        <v>6358.0</v>
      </c>
      <c r="J293" s="29">
        <f t="shared" si="8"/>
        <v>32544</v>
      </c>
    </row>
    <row r="294">
      <c r="A294" s="22"/>
      <c r="B294" s="69">
        <v>46303.0</v>
      </c>
      <c r="C294" s="70" t="s">
        <v>32</v>
      </c>
      <c r="D294" s="42">
        <v>0.0</v>
      </c>
      <c r="E294" s="30">
        <v>6324.0</v>
      </c>
      <c r="F294" s="118">
        <v>1905.0</v>
      </c>
      <c r="G294" s="99"/>
      <c r="H294" s="127">
        <v>3532.0</v>
      </c>
      <c r="I294" s="37">
        <v>3661.0</v>
      </c>
      <c r="J294" s="29">
        <f t="shared" si="8"/>
        <v>15422</v>
      </c>
    </row>
    <row r="295">
      <c r="A295" s="22"/>
      <c r="B295" s="69">
        <v>46334.0</v>
      </c>
      <c r="C295" s="70" t="s">
        <v>34</v>
      </c>
      <c r="D295" s="42">
        <v>0.0</v>
      </c>
      <c r="E295" s="30">
        <v>14123.0</v>
      </c>
      <c r="F295" s="118">
        <v>1881.0</v>
      </c>
      <c r="G295" s="99"/>
      <c r="H295" s="127">
        <v>3401.0</v>
      </c>
      <c r="I295" s="37">
        <v>5079.0</v>
      </c>
      <c r="J295" s="29">
        <f t="shared" si="8"/>
        <v>24484</v>
      </c>
    </row>
    <row r="296">
      <c r="A296" s="22"/>
      <c r="B296" s="69">
        <v>46364.0</v>
      </c>
      <c r="C296" s="70" t="s">
        <v>35</v>
      </c>
      <c r="D296" s="42">
        <v>0.0</v>
      </c>
      <c r="E296" s="30">
        <v>5451.0</v>
      </c>
      <c r="F296" s="118">
        <v>2240.0</v>
      </c>
      <c r="G296" s="99"/>
      <c r="H296" s="127">
        <v>3066.0</v>
      </c>
      <c r="I296" s="37">
        <v>2680.0</v>
      </c>
      <c r="J296" s="29">
        <f t="shared" si="8"/>
        <v>13437</v>
      </c>
    </row>
    <row r="297">
      <c r="A297" s="22"/>
      <c r="B297" s="71" t="s">
        <v>115</v>
      </c>
      <c r="C297" s="70" t="s">
        <v>36</v>
      </c>
      <c r="D297" s="42">
        <v>0.0</v>
      </c>
      <c r="E297" s="30">
        <v>6364.0</v>
      </c>
      <c r="F297" s="118">
        <v>2465.0</v>
      </c>
      <c r="G297" s="99"/>
      <c r="H297" s="127">
        <v>3931.0</v>
      </c>
      <c r="I297" s="37">
        <v>5318.0</v>
      </c>
      <c r="J297" s="29">
        <f t="shared" si="8"/>
        <v>18078</v>
      </c>
    </row>
    <row r="298">
      <c r="A298" s="22"/>
      <c r="B298" s="71" t="s">
        <v>116</v>
      </c>
      <c r="C298" s="70" t="s">
        <v>30</v>
      </c>
      <c r="D298" s="42">
        <v>0.0</v>
      </c>
      <c r="E298" s="30">
        <v>10908.0</v>
      </c>
      <c r="F298" s="118">
        <v>5085.0</v>
      </c>
      <c r="G298" s="99"/>
      <c r="H298" s="127">
        <v>4438.0</v>
      </c>
      <c r="I298" s="37">
        <v>3923.0</v>
      </c>
      <c r="J298" s="29">
        <f t="shared" si="8"/>
        <v>24354</v>
      </c>
    </row>
    <row r="299">
      <c r="A299" s="22"/>
      <c r="B299" s="71" t="s">
        <v>118</v>
      </c>
      <c r="C299" s="70" t="s">
        <v>29</v>
      </c>
      <c r="D299" s="42">
        <v>0.0</v>
      </c>
      <c r="E299" s="42">
        <v>20532.0</v>
      </c>
      <c r="F299" s="118">
        <v>8545.0</v>
      </c>
      <c r="G299" s="99"/>
      <c r="H299" s="127">
        <v>7250.0</v>
      </c>
      <c r="I299" s="37">
        <v>6739.0</v>
      </c>
      <c r="J299" s="29">
        <f t="shared" si="8"/>
        <v>43066</v>
      </c>
    </row>
    <row r="300">
      <c r="A300" s="22"/>
      <c r="B300" s="71" t="s">
        <v>120</v>
      </c>
      <c r="C300" s="70" t="s">
        <v>31</v>
      </c>
      <c r="D300" s="42">
        <v>0.0</v>
      </c>
      <c r="E300" s="42">
        <v>16701.0</v>
      </c>
      <c r="F300" s="118">
        <v>1895.0</v>
      </c>
      <c r="G300" s="99"/>
      <c r="H300" s="127">
        <v>4665.0</v>
      </c>
      <c r="I300" s="37">
        <v>5016.0</v>
      </c>
      <c r="J300" s="29">
        <f t="shared" si="8"/>
        <v>28277</v>
      </c>
    </row>
    <row r="301">
      <c r="A301" s="22"/>
      <c r="B301" s="71" t="s">
        <v>122</v>
      </c>
      <c r="C301" s="70" t="s">
        <v>32</v>
      </c>
      <c r="D301" s="42">
        <v>0.0</v>
      </c>
      <c r="E301" s="42">
        <v>5754.0</v>
      </c>
      <c r="F301" s="118">
        <v>1365.0</v>
      </c>
      <c r="G301" s="99"/>
      <c r="H301" s="127">
        <v>705.0</v>
      </c>
      <c r="I301" s="37">
        <v>1538.0</v>
      </c>
      <c r="J301" s="29">
        <f t="shared" si="8"/>
        <v>9362</v>
      </c>
    </row>
    <row r="302">
      <c r="A302" s="22"/>
      <c r="B302" s="71" t="s">
        <v>123</v>
      </c>
      <c r="C302" s="70" t="s">
        <v>34</v>
      </c>
      <c r="D302" s="42">
        <v>0.0</v>
      </c>
      <c r="E302" s="42">
        <v>4438.0</v>
      </c>
      <c r="F302" s="118">
        <v>3480.0</v>
      </c>
      <c r="G302" s="99"/>
      <c r="H302" s="127">
        <v>3432.0</v>
      </c>
      <c r="I302" s="37">
        <v>5172.0</v>
      </c>
      <c r="J302" s="29">
        <f t="shared" si="8"/>
        <v>16522</v>
      </c>
    </row>
    <row r="303">
      <c r="A303" s="22"/>
      <c r="B303" s="71" t="s">
        <v>124</v>
      </c>
      <c r="C303" s="70" t="s">
        <v>35</v>
      </c>
      <c r="D303" s="42">
        <v>0.0</v>
      </c>
      <c r="E303" s="42">
        <v>5834.0</v>
      </c>
      <c r="F303" s="118">
        <v>2260.0</v>
      </c>
      <c r="G303" s="99"/>
      <c r="H303" s="131">
        <v>1473.0</v>
      </c>
      <c r="I303" s="37">
        <v>2919.0</v>
      </c>
      <c r="J303" s="29">
        <f t="shared" si="8"/>
        <v>12486</v>
      </c>
    </row>
    <row r="304">
      <c r="A304" s="22"/>
      <c r="B304" s="71" t="s">
        <v>125</v>
      </c>
      <c r="C304" s="70" t="s">
        <v>36</v>
      </c>
      <c r="D304" s="42">
        <v>0.0</v>
      </c>
      <c r="E304" s="42">
        <v>8179.0</v>
      </c>
      <c r="F304" s="118">
        <v>2185.0</v>
      </c>
      <c r="G304" s="99"/>
      <c r="H304" s="131">
        <v>2747.0</v>
      </c>
      <c r="I304" s="37">
        <v>4125.0</v>
      </c>
      <c r="J304" s="29">
        <f t="shared" si="8"/>
        <v>17236</v>
      </c>
    </row>
    <row r="305">
      <c r="A305" s="22"/>
      <c r="B305" s="71" t="s">
        <v>127</v>
      </c>
      <c r="C305" s="70" t="s">
        <v>30</v>
      </c>
      <c r="D305" s="131">
        <v>0.0</v>
      </c>
      <c r="E305" s="131">
        <v>17938.0</v>
      </c>
      <c r="F305" s="118">
        <v>3860.0</v>
      </c>
      <c r="G305" s="99"/>
      <c r="H305" s="131">
        <v>6408.0</v>
      </c>
      <c r="I305" s="37">
        <v>4548.0</v>
      </c>
      <c r="J305" s="29">
        <f t="shared" si="8"/>
        <v>32754</v>
      </c>
    </row>
    <row r="306">
      <c r="A306" s="22"/>
      <c r="B306" s="71" t="s">
        <v>147</v>
      </c>
      <c r="C306" s="70" t="s">
        <v>29</v>
      </c>
      <c r="D306" s="131">
        <v>0.0</v>
      </c>
      <c r="E306" s="131">
        <v>14935.0</v>
      </c>
      <c r="F306" s="118">
        <v>2435.0</v>
      </c>
      <c r="G306" s="99"/>
      <c r="H306" s="131">
        <v>4921.0</v>
      </c>
      <c r="I306" s="51">
        <v>5469.0</v>
      </c>
      <c r="J306" s="29">
        <f t="shared" si="8"/>
        <v>27760</v>
      </c>
    </row>
    <row r="307">
      <c r="A307" s="22"/>
      <c r="B307" s="71" t="s">
        <v>148</v>
      </c>
      <c r="C307" s="70" t="s">
        <v>31</v>
      </c>
      <c r="D307" s="131">
        <v>0.0</v>
      </c>
      <c r="E307" s="131">
        <v>13744.0</v>
      </c>
      <c r="F307" s="118">
        <v>2890.0</v>
      </c>
      <c r="G307" s="99"/>
      <c r="H307" s="132">
        <v>3623.0</v>
      </c>
      <c r="I307" s="51">
        <v>5693.0</v>
      </c>
      <c r="J307" s="55">
        <f t="shared" si="8"/>
        <v>25950</v>
      </c>
    </row>
    <row r="308">
      <c r="A308" s="22"/>
      <c r="B308" s="71" t="s">
        <v>150</v>
      </c>
      <c r="C308" s="70" t="s">
        <v>32</v>
      </c>
      <c r="D308" s="131">
        <v>0.0</v>
      </c>
      <c r="E308" s="131">
        <v>6880.0</v>
      </c>
      <c r="F308" s="118">
        <v>3065.0</v>
      </c>
      <c r="G308" s="99"/>
      <c r="H308" s="132">
        <v>2597.0</v>
      </c>
      <c r="I308" s="51">
        <v>2517.0</v>
      </c>
      <c r="J308" s="29">
        <f t="shared" si="8"/>
        <v>15059</v>
      </c>
    </row>
    <row r="309">
      <c r="A309" s="22"/>
      <c r="B309" s="71" t="s">
        <v>151</v>
      </c>
      <c r="C309" s="70" t="s">
        <v>34</v>
      </c>
      <c r="D309" s="132">
        <v>0.0</v>
      </c>
      <c r="E309" s="132">
        <v>6124.0</v>
      </c>
      <c r="F309" s="118">
        <v>2165.0</v>
      </c>
      <c r="G309" s="99"/>
      <c r="H309" s="132">
        <v>3022.0</v>
      </c>
      <c r="I309" s="51">
        <v>4145.0</v>
      </c>
      <c r="J309" s="29">
        <f t="shared" si="8"/>
        <v>15456</v>
      </c>
    </row>
    <row r="310">
      <c r="A310" s="22"/>
      <c r="B310" s="71" t="s">
        <v>152</v>
      </c>
      <c r="C310" s="70" t="s">
        <v>35</v>
      </c>
      <c r="D310" s="132">
        <v>0.0</v>
      </c>
      <c r="E310" s="132">
        <v>9884.0</v>
      </c>
      <c r="F310" s="118">
        <v>1945.0</v>
      </c>
      <c r="G310" s="99"/>
      <c r="H310" s="132">
        <v>3538.0</v>
      </c>
      <c r="I310" s="51">
        <v>3613.0</v>
      </c>
      <c r="J310" s="29">
        <f t="shared" si="8"/>
        <v>18980</v>
      </c>
    </row>
    <row r="311">
      <c r="A311" s="22"/>
      <c r="B311" s="71" t="s">
        <v>153</v>
      </c>
      <c r="C311" s="70" t="s">
        <v>36</v>
      </c>
      <c r="D311" s="132">
        <v>0.0</v>
      </c>
      <c r="E311" s="132">
        <v>11495.0</v>
      </c>
      <c r="F311" s="118">
        <v>1425.0</v>
      </c>
      <c r="G311" s="99"/>
      <c r="H311" s="132">
        <v>3643.0</v>
      </c>
      <c r="I311" s="51">
        <v>1860.0</v>
      </c>
      <c r="J311" s="29">
        <f t="shared" si="8"/>
        <v>18423</v>
      </c>
    </row>
    <row r="312">
      <c r="A312" s="22"/>
      <c r="B312" s="71" t="s">
        <v>154</v>
      </c>
      <c r="C312" s="70" t="s">
        <v>30</v>
      </c>
      <c r="D312" s="132">
        <v>0.0</v>
      </c>
      <c r="E312" s="132">
        <v>20525.0</v>
      </c>
      <c r="F312" s="118">
        <v>6343.0</v>
      </c>
      <c r="G312" s="99"/>
      <c r="H312" s="132">
        <v>7538.0</v>
      </c>
      <c r="I312" s="51">
        <v>1585.0</v>
      </c>
      <c r="J312" s="29">
        <f t="shared" si="8"/>
        <v>35991</v>
      </c>
    </row>
    <row r="313">
      <c r="A313" s="22"/>
      <c r="B313" s="71" t="s">
        <v>156</v>
      </c>
      <c r="C313" s="70" t="s">
        <v>29</v>
      </c>
      <c r="D313" s="132">
        <v>0.0</v>
      </c>
      <c r="E313" s="132">
        <v>13717.0</v>
      </c>
      <c r="F313" s="118">
        <v>3508.0</v>
      </c>
      <c r="G313" s="99"/>
      <c r="H313" s="132">
        <v>5383.0</v>
      </c>
      <c r="I313" s="51">
        <v>4456.0</v>
      </c>
      <c r="J313" s="29">
        <f t="shared" si="8"/>
        <v>27064</v>
      </c>
    </row>
    <row r="314">
      <c r="A314" s="22"/>
      <c r="B314" s="71" t="s">
        <v>158</v>
      </c>
      <c r="C314" s="70" t="s">
        <v>31</v>
      </c>
      <c r="D314" s="132">
        <v>0.0</v>
      </c>
      <c r="E314" s="132">
        <v>14772.0</v>
      </c>
      <c r="F314" s="118"/>
      <c r="G314" s="99"/>
      <c r="H314" s="132">
        <v>3760.0</v>
      </c>
      <c r="I314" s="51">
        <v>3629.0</v>
      </c>
      <c r="J314" s="29">
        <f t="shared" si="8"/>
        <v>22161</v>
      </c>
    </row>
    <row r="315">
      <c r="A315" s="22"/>
      <c r="B315" s="71" t="s">
        <v>161</v>
      </c>
      <c r="C315" s="70" t="s">
        <v>32</v>
      </c>
      <c r="D315" s="134">
        <v>0.0</v>
      </c>
      <c r="E315" s="134">
        <v>9653.0</v>
      </c>
      <c r="F315" s="118"/>
      <c r="G315" s="99"/>
      <c r="H315" s="134">
        <v>4098.0</v>
      </c>
      <c r="I315" s="51">
        <v>3117.0</v>
      </c>
      <c r="J315" s="29">
        <f t="shared" si="8"/>
        <v>16868</v>
      </c>
    </row>
    <row r="316">
      <c r="A316" s="49"/>
      <c r="B316" s="78"/>
      <c r="C316" s="79"/>
      <c r="D316" s="66">
        <f t="shared" ref="D316:E316" si="11">SUM(D285:D315)</f>
        <v>21358</v>
      </c>
      <c r="E316" s="66">
        <f t="shared" si="11"/>
        <v>339279</v>
      </c>
      <c r="F316" s="133">
        <f>SUM(F285:G315)</f>
        <v>98737</v>
      </c>
      <c r="G316" s="99"/>
      <c r="H316" s="66">
        <f t="shared" ref="H316:I316" si="12">SUM(H285:H315)</f>
        <v>135653</v>
      </c>
      <c r="I316" s="66">
        <f t="shared" si="12"/>
        <v>132162</v>
      </c>
      <c r="J316" s="29">
        <f t="shared" si="8"/>
        <v>727189</v>
      </c>
    </row>
    <row r="317">
      <c r="A317" s="60" t="s">
        <v>174</v>
      </c>
      <c r="B317" s="69">
        <v>46031.0</v>
      </c>
      <c r="C317" s="70" t="s">
        <v>34</v>
      </c>
      <c r="D317" s="42">
        <v>0.0</v>
      </c>
      <c r="E317" s="30">
        <v>8692.0</v>
      </c>
      <c r="F317" s="118">
        <v>2040.0</v>
      </c>
      <c r="G317" s="99"/>
      <c r="H317" s="127">
        <v>1878.0</v>
      </c>
      <c r="I317" s="37">
        <v>2687.0</v>
      </c>
      <c r="J317" s="29">
        <f t="shared" si="8"/>
        <v>15297</v>
      </c>
    </row>
    <row r="318">
      <c r="A318" s="22"/>
      <c r="B318" s="69">
        <v>46062.0</v>
      </c>
      <c r="C318" s="70" t="s">
        <v>35</v>
      </c>
      <c r="D318" s="42">
        <v>0.0</v>
      </c>
      <c r="E318" s="30">
        <v>7507.0</v>
      </c>
      <c r="F318" s="118">
        <v>2170.0</v>
      </c>
      <c r="G318" s="99"/>
      <c r="H318" s="127">
        <v>2935.0</v>
      </c>
      <c r="I318" s="37">
        <v>3322.0</v>
      </c>
      <c r="J318" s="29">
        <f t="shared" si="8"/>
        <v>15934</v>
      </c>
    </row>
    <row r="319">
      <c r="A319" s="22"/>
      <c r="B319" s="69">
        <v>46090.0</v>
      </c>
      <c r="C319" s="70" t="s">
        <v>36</v>
      </c>
      <c r="D319" s="42">
        <v>0.0</v>
      </c>
      <c r="E319" s="30">
        <v>10620.0</v>
      </c>
      <c r="F319" s="118">
        <v>1325.0</v>
      </c>
      <c r="G319" s="99"/>
      <c r="H319" s="127">
        <v>1274.0</v>
      </c>
      <c r="I319" s="37">
        <v>1646.0</v>
      </c>
      <c r="J319" s="29">
        <f t="shared" si="8"/>
        <v>14865</v>
      </c>
    </row>
    <row r="320">
      <c r="A320" s="22"/>
      <c r="B320" s="69">
        <v>46121.0</v>
      </c>
      <c r="C320" s="70" t="s">
        <v>30</v>
      </c>
      <c r="D320" s="42">
        <v>0.0</v>
      </c>
      <c r="E320" s="30">
        <v>7095.0</v>
      </c>
      <c r="F320" s="118">
        <v>1315.0</v>
      </c>
      <c r="G320" s="99"/>
      <c r="H320" s="127">
        <v>3432.0</v>
      </c>
      <c r="I320" s="37">
        <v>2498.0</v>
      </c>
      <c r="J320" s="29">
        <f t="shared" si="8"/>
        <v>14340</v>
      </c>
    </row>
    <row r="321">
      <c r="A321" s="22"/>
      <c r="B321" s="69">
        <v>46151.0</v>
      </c>
      <c r="C321" s="70" t="s">
        <v>29</v>
      </c>
      <c r="D321" s="42">
        <v>0.0</v>
      </c>
      <c r="E321" s="30">
        <v>15118.0</v>
      </c>
      <c r="F321" s="118">
        <v>3980.0</v>
      </c>
      <c r="G321" s="99"/>
      <c r="H321" s="144">
        <v>3601.0</v>
      </c>
      <c r="I321" s="37">
        <v>6675.0</v>
      </c>
      <c r="J321" s="29">
        <f t="shared" si="8"/>
        <v>29374</v>
      </c>
    </row>
    <row r="322">
      <c r="A322" s="22"/>
      <c r="B322" s="69">
        <v>46182.0</v>
      </c>
      <c r="C322" s="70" t="s">
        <v>31</v>
      </c>
      <c r="D322" s="42">
        <v>0.0</v>
      </c>
      <c r="E322" s="30">
        <v>14335.0</v>
      </c>
      <c r="F322" s="118">
        <v>5560.0</v>
      </c>
      <c r="G322" s="99"/>
      <c r="H322" s="144">
        <v>4587.0</v>
      </c>
      <c r="I322" s="37">
        <v>2678.0</v>
      </c>
      <c r="J322" s="29">
        <f t="shared" si="8"/>
        <v>27160</v>
      </c>
    </row>
    <row r="323">
      <c r="A323" s="22"/>
      <c r="B323" s="69">
        <v>46212.0</v>
      </c>
      <c r="C323" s="70" t="s">
        <v>32</v>
      </c>
      <c r="D323" s="42">
        <v>0.0</v>
      </c>
      <c r="E323" s="30">
        <v>7970.0</v>
      </c>
      <c r="F323" s="118">
        <v>2405.0</v>
      </c>
      <c r="G323" s="99"/>
      <c r="H323" s="144">
        <v>3463.0</v>
      </c>
      <c r="I323" s="37">
        <v>1856.0</v>
      </c>
      <c r="J323" s="29">
        <f t="shared" si="8"/>
        <v>15694</v>
      </c>
    </row>
    <row r="324">
      <c r="A324" s="22"/>
      <c r="B324" s="69">
        <v>46243.0</v>
      </c>
      <c r="C324" s="70" t="s">
        <v>34</v>
      </c>
      <c r="D324" s="42">
        <v>0.0</v>
      </c>
      <c r="E324" s="30">
        <v>5874.0</v>
      </c>
      <c r="F324" s="118">
        <v>2785.0</v>
      </c>
      <c r="G324" s="99"/>
      <c r="H324" s="144">
        <v>2496.0</v>
      </c>
      <c r="I324" s="37">
        <v>1115.0</v>
      </c>
      <c r="J324" s="29">
        <f t="shared" si="8"/>
        <v>12270</v>
      </c>
    </row>
    <row r="325">
      <c r="A325" s="22"/>
      <c r="B325" s="69">
        <v>46274.0</v>
      </c>
      <c r="C325" s="70" t="s">
        <v>35</v>
      </c>
      <c r="D325" s="42">
        <v>0.0</v>
      </c>
      <c r="E325" s="30">
        <v>5950.0</v>
      </c>
      <c r="F325" s="118">
        <v>2045.0</v>
      </c>
      <c r="G325" s="99"/>
      <c r="H325" s="144">
        <v>2496.0</v>
      </c>
      <c r="I325" s="37">
        <v>1241.0</v>
      </c>
      <c r="J325" s="29">
        <f t="shared" si="8"/>
        <v>11732</v>
      </c>
    </row>
    <row r="326">
      <c r="A326" s="22"/>
      <c r="B326" s="69">
        <v>46304.0</v>
      </c>
      <c r="C326" s="70" t="s">
        <v>36</v>
      </c>
      <c r="D326" s="42">
        <v>0.0</v>
      </c>
      <c r="E326" s="30">
        <v>6951.0</v>
      </c>
      <c r="F326" s="118">
        <v>0.0</v>
      </c>
      <c r="G326" s="99"/>
      <c r="H326" s="127">
        <v>3073.0</v>
      </c>
      <c r="I326" s="37">
        <v>0.0</v>
      </c>
      <c r="J326" s="29">
        <f t="shared" si="8"/>
        <v>10024</v>
      </c>
    </row>
    <row r="327">
      <c r="A327" s="22"/>
      <c r="B327" s="69">
        <v>46335.0</v>
      </c>
      <c r="C327" s="70" t="s">
        <v>30</v>
      </c>
      <c r="D327" s="42">
        <v>0.0</v>
      </c>
      <c r="E327" s="30">
        <v>11473.0</v>
      </c>
      <c r="F327" s="118">
        <v>1690.0</v>
      </c>
      <c r="G327" s="99"/>
      <c r="H327" s="127">
        <v>3281.0</v>
      </c>
      <c r="I327" s="37">
        <v>0.0</v>
      </c>
      <c r="J327" s="29">
        <f t="shared" si="8"/>
        <v>16444</v>
      </c>
    </row>
    <row r="328">
      <c r="A328" s="22"/>
      <c r="B328" s="69">
        <v>46365.0</v>
      </c>
      <c r="C328" s="70" t="s">
        <v>29</v>
      </c>
      <c r="D328" s="42">
        <v>0.0</v>
      </c>
      <c r="E328" s="30">
        <v>12536.0</v>
      </c>
      <c r="F328" s="118">
        <v>3650.0</v>
      </c>
      <c r="G328" s="99"/>
      <c r="H328" s="127">
        <v>3580.0</v>
      </c>
      <c r="I328" s="37">
        <v>3112.0</v>
      </c>
      <c r="J328" s="29">
        <f t="shared" si="8"/>
        <v>22878</v>
      </c>
    </row>
    <row r="329">
      <c r="A329" s="22"/>
      <c r="B329" s="71" t="s">
        <v>176</v>
      </c>
      <c r="C329" s="70" t="s">
        <v>31</v>
      </c>
      <c r="D329" s="42">
        <v>0.0</v>
      </c>
      <c r="E329" s="30">
        <v>16453.0</v>
      </c>
      <c r="F329" s="118">
        <v>2770.0</v>
      </c>
      <c r="G329" s="99"/>
      <c r="H329" s="127">
        <v>4468.0</v>
      </c>
      <c r="I329" s="37">
        <v>6357.0</v>
      </c>
      <c r="J329" s="29">
        <f t="shared" si="8"/>
        <v>30048</v>
      </c>
    </row>
    <row r="330">
      <c r="A330" s="22"/>
      <c r="B330" s="71" t="s">
        <v>178</v>
      </c>
      <c r="C330" s="70" t="s">
        <v>32</v>
      </c>
      <c r="D330" s="42">
        <v>0.0</v>
      </c>
      <c r="E330" s="30">
        <v>10321.0</v>
      </c>
      <c r="F330" s="118">
        <v>2215.0</v>
      </c>
      <c r="G330" s="99"/>
      <c r="H330" s="127">
        <v>1741.0</v>
      </c>
      <c r="I330" s="37">
        <v>814.0</v>
      </c>
      <c r="J330" s="29">
        <f t="shared" si="8"/>
        <v>15091</v>
      </c>
    </row>
    <row r="331">
      <c r="A331" s="22"/>
      <c r="B331" s="71" t="s">
        <v>180</v>
      </c>
      <c r="C331" s="70" t="s">
        <v>34</v>
      </c>
      <c r="D331" s="42">
        <v>0.0</v>
      </c>
      <c r="E331" s="42">
        <v>7980.0</v>
      </c>
      <c r="F331" s="118">
        <v>1900.0</v>
      </c>
      <c r="G331" s="99"/>
      <c r="H331" s="127">
        <v>3114.0</v>
      </c>
      <c r="I331" s="37">
        <v>0.0</v>
      </c>
      <c r="J331" s="29">
        <f t="shared" si="8"/>
        <v>12994</v>
      </c>
    </row>
    <row r="332">
      <c r="A332" s="22"/>
      <c r="B332" s="71" t="s">
        <v>182</v>
      </c>
      <c r="C332" s="70" t="s">
        <v>35</v>
      </c>
      <c r="D332" s="42">
        <v>0.0</v>
      </c>
      <c r="E332" s="42">
        <v>5681.0</v>
      </c>
      <c r="F332" s="118">
        <v>1680.0</v>
      </c>
      <c r="G332" s="99"/>
      <c r="H332" s="127"/>
      <c r="I332" s="37">
        <v>0.0</v>
      </c>
      <c r="J332" s="29">
        <f t="shared" si="8"/>
        <v>7361</v>
      </c>
    </row>
    <row r="333">
      <c r="A333" s="22"/>
      <c r="B333" s="71" t="s">
        <v>184</v>
      </c>
      <c r="C333" s="70" t="s">
        <v>36</v>
      </c>
      <c r="D333" s="42">
        <v>0.0</v>
      </c>
      <c r="E333" s="42">
        <v>5132.0</v>
      </c>
      <c r="F333" s="118">
        <v>0.0</v>
      </c>
      <c r="G333" s="99"/>
      <c r="H333" s="127"/>
      <c r="I333" s="37">
        <v>2360.0</v>
      </c>
      <c r="J333" s="29">
        <f t="shared" si="8"/>
        <v>7492</v>
      </c>
    </row>
    <row r="334">
      <c r="A334" s="22"/>
      <c r="B334" s="71" t="s">
        <v>186</v>
      </c>
      <c r="C334" s="70" t="s">
        <v>30</v>
      </c>
      <c r="D334" s="42">
        <v>0.0</v>
      </c>
      <c r="E334" s="42">
        <v>11233.0</v>
      </c>
      <c r="F334" s="118">
        <v>0.0</v>
      </c>
      <c r="G334" s="99"/>
      <c r="H334" s="127"/>
      <c r="I334" s="37">
        <v>2728.0</v>
      </c>
      <c r="J334" s="29">
        <f t="shared" si="8"/>
        <v>13961</v>
      </c>
    </row>
    <row r="335">
      <c r="A335" s="22"/>
      <c r="B335" s="71" t="s">
        <v>188</v>
      </c>
      <c r="C335" s="70" t="s">
        <v>29</v>
      </c>
      <c r="D335" s="42">
        <v>0.0</v>
      </c>
      <c r="E335" s="42">
        <v>13390.0</v>
      </c>
      <c r="F335" s="118">
        <v>0.0</v>
      </c>
      <c r="G335" s="99"/>
      <c r="H335" s="131"/>
      <c r="I335" s="37">
        <v>4186.0</v>
      </c>
      <c r="J335" s="29">
        <f t="shared" si="8"/>
        <v>17576</v>
      </c>
    </row>
    <row r="336">
      <c r="A336" s="22"/>
      <c r="B336" s="71" t="s">
        <v>190</v>
      </c>
      <c r="C336" s="70" t="s">
        <v>31</v>
      </c>
      <c r="D336" s="42">
        <v>0.0</v>
      </c>
      <c r="E336" s="42">
        <v>11557.0</v>
      </c>
      <c r="F336" s="118">
        <v>0.0</v>
      </c>
      <c r="G336" s="99"/>
      <c r="H336" s="131"/>
      <c r="I336" s="37">
        <v>3622.0</v>
      </c>
      <c r="J336" s="29">
        <f t="shared" si="8"/>
        <v>15179</v>
      </c>
    </row>
    <row r="337">
      <c r="A337" s="22"/>
      <c r="B337" s="71" t="s">
        <v>192</v>
      </c>
      <c r="C337" s="70" t="s">
        <v>32</v>
      </c>
      <c r="D337" s="131">
        <v>0.0</v>
      </c>
      <c r="E337" s="131">
        <v>8940.0</v>
      </c>
      <c r="F337" s="118">
        <v>0.0</v>
      </c>
      <c r="G337" s="99"/>
      <c r="H337" s="131"/>
      <c r="I337" s="37">
        <v>2231.0</v>
      </c>
      <c r="J337" s="29">
        <f t="shared" si="8"/>
        <v>11171</v>
      </c>
    </row>
    <row r="338">
      <c r="A338" s="22"/>
      <c r="B338" s="71" t="s">
        <v>194</v>
      </c>
      <c r="C338" s="70" t="s">
        <v>34</v>
      </c>
      <c r="D338" s="131">
        <v>0.0</v>
      </c>
      <c r="E338" s="131">
        <v>9760.0</v>
      </c>
      <c r="F338" s="118">
        <v>0.0</v>
      </c>
      <c r="G338" s="99"/>
      <c r="H338" s="131"/>
      <c r="I338" s="51">
        <v>2616.0</v>
      </c>
      <c r="J338" s="29">
        <f t="shared" si="8"/>
        <v>12376</v>
      </c>
    </row>
    <row r="339">
      <c r="A339" s="22"/>
      <c r="B339" s="71" t="s">
        <v>196</v>
      </c>
      <c r="C339" s="70" t="s">
        <v>35</v>
      </c>
      <c r="D339" s="131">
        <v>0.0</v>
      </c>
      <c r="E339" s="131">
        <v>8319.0</v>
      </c>
      <c r="F339" s="118">
        <v>0.0</v>
      </c>
      <c r="G339" s="99"/>
      <c r="H339" s="132"/>
      <c r="I339" s="51">
        <v>3897.0</v>
      </c>
      <c r="J339" s="55">
        <f t="shared" si="8"/>
        <v>12216</v>
      </c>
    </row>
    <row r="340">
      <c r="A340" s="22"/>
      <c r="B340" s="71" t="s">
        <v>198</v>
      </c>
      <c r="C340" s="70" t="s">
        <v>36</v>
      </c>
      <c r="D340" s="131">
        <v>0.0</v>
      </c>
      <c r="E340" s="131">
        <v>8630.0</v>
      </c>
      <c r="F340" s="118">
        <v>0.0</v>
      </c>
      <c r="G340" s="99"/>
      <c r="H340" s="132"/>
      <c r="I340" s="51">
        <v>3550.0</v>
      </c>
      <c r="J340" s="29">
        <f t="shared" si="8"/>
        <v>12180</v>
      </c>
    </row>
    <row r="341">
      <c r="A341" s="22"/>
      <c r="B341" s="71" t="s">
        <v>199</v>
      </c>
      <c r="C341" s="70" t="s">
        <v>30</v>
      </c>
      <c r="D341" s="132">
        <v>0.0</v>
      </c>
      <c r="E341" s="132">
        <v>9553.0</v>
      </c>
      <c r="F341" s="118">
        <v>0.0</v>
      </c>
      <c r="G341" s="99"/>
      <c r="H341" s="132"/>
      <c r="I341" s="51">
        <v>0.0</v>
      </c>
      <c r="J341" s="29">
        <f t="shared" si="8"/>
        <v>9553</v>
      </c>
    </row>
    <row r="342">
      <c r="A342" s="22"/>
      <c r="B342" s="71" t="s">
        <v>202</v>
      </c>
      <c r="C342" s="70" t="s">
        <v>29</v>
      </c>
      <c r="D342" s="132">
        <v>0.0</v>
      </c>
      <c r="E342" s="132">
        <v>15934.0</v>
      </c>
      <c r="F342" s="118">
        <v>0.0</v>
      </c>
      <c r="G342" s="99"/>
      <c r="H342" s="132"/>
      <c r="I342" s="51">
        <v>4133.0</v>
      </c>
      <c r="J342" s="29">
        <f t="shared" si="8"/>
        <v>20067</v>
      </c>
    </row>
    <row r="343">
      <c r="A343" s="22"/>
      <c r="B343" s="71" t="s">
        <v>203</v>
      </c>
      <c r="C343" s="70" t="s">
        <v>31</v>
      </c>
      <c r="D343" s="132">
        <v>0.0</v>
      </c>
      <c r="E343" s="132">
        <v>17719.0</v>
      </c>
      <c r="F343" s="118">
        <v>0.0</v>
      </c>
      <c r="G343" s="99"/>
      <c r="H343" s="132"/>
      <c r="I343" s="51">
        <v>6254.0</v>
      </c>
      <c r="J343" s="29">
        <f t="shared" si="8"/>
        <v>23973</v>
      </c>
    </row>
    <row r="344">
      <c r="A344" s="22"/>
      <c r="B344" s="71" t="s">
        <v>253</v>
      </c>
      <c r="C344" s="70" t="s">
        <v>32</v>
      </c>
      <c r="D344" s="132">
        <v>0.0</v>
      </c>
      <c r="E344" s="132">
        <v>8455.0</v>
      </c>
      <c r="F344" s="118">
        <v>0.0</v>
      </c>
      <c r="G344" s="99"/>
      <c r="H344" s="132"/>
      <c r="I344" s="51"/>
      <c r="J344" s="29">
        <f t="shared" si="8"/>
        <v>8455</v>
      </c>
    </row>
    <row r="345">
      <c r="A345" s="22"/>
      <c r="B345" s="71"/>
      <c r="C345" s="70"/>
      <c r="D345" s="132"/>
      <c r="E345" s="132"/>
      <c r="F345" s="118"/>
      <c r="G345" s="99"/>
      <c r="H345" s="132"/>
      <c r="I345" s="51"/>
      <c r="J345" s="29">
        <f t="shared" si="8"/>
        <v>0</v>
      </c>
    </row>
    <row r="346">
      <c r="A346" s="22"/>
      <c r="B346" s="71"/>
      <c r="C346" s="70"/>
      <c r="D346" s="132"/>
      <c r="E346" s="132"/>
      <c r="F346" s="118"/>
      <c r="G346" s="99"/>
      <c r="H346" s="132"/>
      <c r="I346" s="51"/>
      <c r="J346" s="29">
        <f t="shared" si="8"/>
        <v>0</v>
      </c>
    </row>
    <row r="347">
      <c r="A347" s="22"/>
      <c r="B347" s="71"/>
      <c r="C347" s="70"/>
      <c r="D347" s="134"/>
      <c r="E347" s="134"/>
      <c r="F347" s="118"/>
      <c r="G347" s="99"/>
      <c r="H347" s="134"/>
      <c r="I347" s="51"/>
      <c r="J347" s="29">
        <f t="shared" si="8"/>
        <v>0</v>
      </c>
    </row>
    <row r="348">
      <c r="A348" s="49"/>
      <c r="B348" s="78"/>
      <c r="C348" s="79"/>
      <c r="D348" s="66">
        <f t="shared" ref="D348:E348" si="13">SUM(D317:D347)</f>
        <v>0</v>
      </c>
      <c r="E348" s="66">
        <f t="shared" si="13"/>
        <v>283178</v>
      </c>
      <c r="F348" s="133">
        <f>SUM(F317:G347)</f>
        <v>37530</v>
      </c>
      <c r="G348" s="99"/>
      <c r="H348" s="66">
        <f t="shared" ref="H348:I348" si="14">SUM(H317:H347)</f>
        <v>45419</v>
      </c>
      <c r="I348" s="66">
        <f t="shared" si="14"/>
        <v>69578</v>
      </c>
      <c r="J348" s="29">
        <f t="shared" si="8"/>
        <v>435705</v>
      </c>
    </row>
    <row r="349">
      <c r="A349" s="147"/>
      <c r="B349" s="147"/>
      <c r="C349" s="147"/>
    </row>
    <row r="350">
      <c r="A350" s="147"/>
      <c r="B350" s="147"/>
      <c r="C350" s="147"/>
    </row>
    <row r="351">
      <c r="A351" s="147"/>
      <c r="B351" s="147"/>
      <c r="C351" s="147"/>
    </row>
    <row r="352">
      <c r="A352" s="147"/>
      <c r="B352" s="147"/>
      <c r="C352" s="147"/>
    </row>
    <row r="353">
      <c r="A353" s="147"/>
      <c r="B353" s="147"/>
      <c r="C353" s="147"/>
    </row>
    <row r="354">
      <c r="A354" s="147"/>
      <c r="B354" s="147"/>
      <c r="C354" s="147"/>
    </row>
    <row r="355">
      <c r="A355" s="147"/>
      <c r="B355" s="147"/>
      <c r="C355" s="147"/>
    </row>
    <row r="356">
      <c r="A356" s="147"/>
      <c r="B356" s="147"/>
      <c r="C356" s="147"/>
    </row>
    <row r="357">
      <c r="A357" s="147"/>
      <c r="B357" s="147"/>
      <c r="C357" s="147"/>
    </row>
    <row r="358">
      <c r="A358" s="147"/>
      <c r="B358" s="147"/>
      <c r="C358" s="147"/>
    </row>
    <row r="359">
      <c r="A359" s="147"/>
      <c r="B359" s="147"/>
      <c r="C359" s="147"/>
    </row>
    <row r="360">
      <c r="A360" s="147"/>
      <c r="B360" s="147"/>
      <c r="C360" s="147"/>
    </row>
    <row r="361">
      <c r="A361" s="147"/>
      <c r="B361" s="147"/>
      <c r="C361" s="147"/>
    </row>
    <row r="362">
      <c r="A362" s="147"/>
      <c r="B362" s="147"/>
      <c r="C362" s="147"/>
    </row>
    <row r="363">
      <c r="A363" s="147"/>
      <c r="B363" s="147"/>
      <c r="C363" s="147"/>
    </row>
    <row r="364">
      <c r="A364" s="147"/>
      <c r="B364" s="147"/>
      <c r="C364" s="147"/>
    </row>
    <row r="365">
      <c r="A365" s="147"/>
      <c r="B365" s="147"/>
      <c r="C365" s="147"/>
    </row>
    <row r="366">
      <c r="A366" s="147"/>
      <c r="B366" s="147"/>
      <c r="C366" s="147"/>
    </row>
    <row r="367">
      <c r="A367" s="147"/>
      <c r="B367" s="147"/>
      <c r="C367" s="147"/>
    </row>
    <row r="368">
      <c r="A368" s="147"/>
      <c r="B368" s="147"/>
      <c r="C368" s="147"/>
    </row>
    <row r="369">
      <c r="A369" s="147"/>
      <c r="B369" s="147"/>
      <c r="C369" s="147"/>
    </row>
    <row r="370">
      <c r="A370" s="147"/>
      <c r="B370" s="147"/>
      <c r="C370" s="147"/>
    </row>
    <row r="371">
      <c r="A371" s="147"/>
      <c r="B371" s="147"/>
      <c r="C371" s="147"/>
    </row>
    <row r="372">
      <c r="A372" s="147"/>
      <c r="B372" s="147"/>
      <c r="C372" s="147"/>
    </row>
    <row r="373">
      <c r="A373" s="147"/>
      <c r="B373" s="147"/>
      <c r="C373" s="147"/>
    </row>
    <row r="374">
      <c r="A374" s="147"/>
      <c r="B374" s="147"/>
      <c r="C374" s="147"/>
    </row>
    <row r="375">
      <c r="A375" s="147"/>
      <c r="B375" s="147"/>
      <c r="C375" s="147"/>
    </row>
    <row r="376">
      <c r="A376" s="147"/>
      <c r="B376" s="147"/>
      <c r="C376" s="147"/>
    </row>
    <row r="377">
      <c r="A377" s="147"/>
      <c r="B377" s="147"/>
      <c r="C377" s="147"/>
    </row>
    <row r="378">
      <c r="A378" s="147"/>
      <c r="B378" s="147"/>
      <c r="C378" s="147"/>
    </row>
    <row r="379">
      <c r="A379" s="147"/>
      <c r="B379" s="147"/>
      <c r="C379" s="147"/>
    </row>
    <row r="380">
      <c r="A380" s="147"/>
      <c r="B380" s="147"/>
      <c r="C380" s="147"/>
    </row>
    <row r="381">
      <c r="A381" s="147"/>
      <c r="B381" s="147"/>
      <c r="C381" s="147"/>
    </row>
    <row r="382">
      <c r="A382" s="147"/>
      <c r="B382" s="147"/>
      <c r="C382" s="147"/>
    </row>
    <row r="383">
      <c r="A383" s="147"/>
      <c r="B383" s="147"/>
      <c r="C383" s="147"/>
    </row>
    <row r="384">
      <c r="A384" s="147"/>
      <c r="B384" s="147"/>
      <c r="C384" s="147"/>
    </row>
    <row r="385">
      <c r="A385" s="147"/>
      <c r="B385" s="147"/>
      <c r="C385" s="147"/>
    </row>
    <row r="386">
      <c r="A386" s="147"/>
      <c r="B386" s="147"/>
      <c r="C386" s="147"/>
    </row>
    <row r="387">
      <c r="A387" s="147"/>
      <c r="B387" s="147"/>
      <c r="C387" s="147"/>
    </row>
    <row r="388">
      <c r="A388" s="147"/>
      <c r="B388" s="147"/>
      <c r="C388" s="147"/>
    </row>
    <row r="389">
      <c r="A389" s="147"/>
      <c r="B389" s="147"/>
      <c r="C389" s="147"/>
    </row>
    <row r="390">
      <c r="A390" s="147"/>
      <c r="B390" s="147"/>
      <c r="C390" s="147"/>
    </row>
    <row r="391">
      <c r="A391" s="147"/>
      <c r="B391" s="147"/>
      <c r="C391" s="147"/>
    </row>
    <row r="392">
      <c r="A392" s="147"/>
      <c r="B392" s="147"/>
      <c r="C392" s="147"/>
    </row>
    <row r="393">
      <c r="A393" s="147"/>
      <c r="B393" s="147"/>
      <c r="C393" s="147"/>
    </row>
    <row r="394">
      <c r="A394" s="147"/>
      <c r="B394" s="147"/>
      <c r="C394" s="147"/>
    </row>
    <row r="395">
      <c r="A395" s="147"/>
      <c r="B395" s="147"/>
      <c r="C395" s="147"/>
    </row>
    <row r="396">
      <c r="A396" s="147"/>
      <c r="B396" s="147"/>
      <c r="C396" s="147"/>
    </row>
    <row r="397">
      <c r="A397" s="147"/>
      <c r="B397" s="147"/>
      <c r="C397" s="147"/>
    </row>
    <row r="398">
      <c r="A398" s="147"/>
      <c r="B398" s="147"/>
      <c r="C398" s="147"/>
    </row>
    <row r="399">
      <c r="A399" s="147"/>
      <c r="B399" s="147"/>
      <c r="C399" s="147"/>
    </row>
    <row r="400">
      <c r="A400" s="147"/>
      <c r="B400" s="147"/>
      <c r="C400" s="147"/>
    </row>
    <row r="401">
      <c r="A401" s="147"/>
      <c r="B401" s="147"/>
      <c r="C401" s="147"/>
    </row>
    <row r="402">
      <c r="A402" s="147"/>
      <c r="B402" s="147"/>
      <c r="C402" s="147"/>
    </row>
    <row r="403">
      <c r="A403" s="147"/>
      <c r="B403" s="147"/>
      <c r="C403" s="147"/>
    </row>
    <row r="404">
      <c r="A404" s="147"/>
      <c r="B404" s="147"/>
      <c r="C404" s="147"/>
    </row>
    <row r="405">
      <c r="A405" s="147"/>
      <c r="B405" s="147"/>
      <c r="C405" s="147"/>
    </row>
    <row r="406">
      <c r="A406" s="147"/>
      <c r="B406" s="147"/>
      <c r="C406" s="147"/>
    </row>
    <row r="407">
      <c r="A407" s="147"/>
      <c r="B407" s="147"/>
      <c r="C407" s="147"/>
    </row>
    <row r="408">
      <c r="A408" s="147"/>
      <c r="B408" s="147"/>
      <c r="C408" s="147"/>
    </row>
    <row r="409">
      <c r="A409" s="147"/>
      <c r="B409" s="147"/>
      <c r="C409" s="147"/>
    </row>
    <row r="410">
      <c r="A410" s="147"/>
      <c r="B410" s="147"/>
      <c r="C410" s="147"/>
    </row>
    <row r="411">
      <c r="A411" s="147"/>
      <c r="B411" s="147"/>
      <c r="C411" s="147"/>
    </row>
    <row r="412">
      <c r="A412" s="147"/>
      <c r="B412" s="147"/>
      <c r="C412" s="147"/>
    </row>
    <row r="413">
      <c r="A413" s="147"/>
      <c r="B413" s="147"/>
      <c r="C413" s="147"/>
    </row>
    <row r="414">
      <c r="A414" s="147"/>
      <c r="B414" s="147"/>
      <c r="C414" s="147"/>
    </row>
    <row r="415">
      <c r="A415" s="147"/>
      <c r="B415" s="147"/>
      <c r="C415" s="147"/>
    </row>
    <row r="416">
      <c r="A416" s="147"/>
      <c r="B416" s="147"/>
      <c r="C416" s="147"/>
    </row>
    <row r="417">
      <c r="A417" s="147"/>
      <c r="B417" s="147"/>
      <c r="C417" s="147"/>
    </row>
    <row r="418">
      <c r="A418" s="147"/>
      <c r="B418" s="147"/>
      <c r="C418" s="147"/>
    </row>
    <row r="419">
      <c r="A419" s="147"/>
      <c r="B419" s="147"/>
      <c r="C419" s="147"/>
    </row>
    <row r="420">
      <c r="A420" s="147"/>
      <c r="B420" s="147"/>
      <c r="C420" s="147"/>
    </row>
    <row r="421">
      <c r="A421" s="147"/>
      <c r="B421" s="147"/>
      <c r="C421" s="147"/>
    </row>
    <row r="422">
      <c r="A422" s="147"/>
      <c r="B422" s="147"/>
      <c r="C422" s="147"/>
    </row>
    <row r="423">
      <c r="A423" s="147"/>
      <c r="B423" s="147"/>
      <c r="C423" s="147"/>
    </row>
    <row r="424">
      <c r="A424" s="147"/>
      <c r="B424" s="147"/>
      <c r="C424" s="147"/>
    </row>
    <row r="425">
      <c r="A425" s="147"/>
      <c r="B425" s="147"/>
      <c r="C425" s="147"/>
    </row>
    <row r="426">
      <c r="A426" s="147"/>
      <c r="B426" s="147"/>
      <c r="C426" s="147"/>
    </row>
    <row r="427">
      <c r="A427" s="147"/>
      <c r="B427" s="147"/>
      <c r="C427" s="147"/>
    </row>
    <row r="428">
      <c r="A428" s="147"/>
      <c r="B428" s="147"/>
      <c r="C428" s="147"/>
    </row>
    <row r="429">
      <c r="A429" s="147"/>
      <c r="B429" s="147"/>
      <c r="C429" s="147"/>
    </row>
    <row r="430">
      <c r="A430" s="147"/>
      <c r="B430" s="147"/>
      <c r="C430" s="147"/>
    </row>
    <row r="431">
      <c r="A431" s="147"/>
      <c r="B431" s="147"/>
      <c r="C431" s="147"/>
    </row>
    <row r="432">
      <c r="A432" s="147"/>
      <c r="B432" s="147"/>
      <c r="C432" s="147"/>
    </row>
    <row r="433">
      <c r="A433" s="147"/>
      <c r="B433" s="147"/>
      <c r="C433" s="147"/>
    </row>
    <row r="434">
      <c r="A434" s="147"/>
      <c r="B434" s="147"/>
      <c r="C434" s="147"/>
    </row>
    <row r="435">
      <c r="A435" s="147"/>
      <c r="B435" s="147"/>
      <c r="C435" s="147"/>
    </row>
    <row r="436">
      <c r="A436" s="147"/>
      <c r="B436" s="147"/>
      <c r="C436" s="147"/>
    </row>
    <row r="437">
      <c r="A437" s="147"/>
      <c r="B437" s="147"/>
      <c r="C437" s="147"/>
    </row>
    <row r="438">
      <c r="A438" s="147"/>
      <c r="B438" s="147"/>
      <c r="C438" s="147"/>
    </row>
    <row r="439">
      <c r="A439" s="147"/>
      <c r="B439" s="147"/>
      <c r="C439" s="147"/>
    </row>
    <row r="440">
      <c r="A440" s="147"/>
      <c r="B440" s="147"/>
      <c r="C440" s="147"/>
    </row>
    <row r="441">
      <c r="A441" s="147"/>
      <c r="B441" s="147"/>
      <c r="C441" s="147"/>
    </row>
    <row r="442">
      <c r="A442" s="147"/>
      <c r="B442" s="147"/>
      <c r="C442" s="147"/>
    </row>
    <row r="443">
      <c r="A443" s="147"/>
      <c r="B443" s="147"/>
      <c r="C443" s="147"/>
    </row>
    <row r="444">
      <c r="A444" s="147"/>
      <c r="B444" s="147"/>
      <c r="C444" s="147"/>
    </row>
    <row r="445">
      <c r="A445" s="147"/>
      <c r="B445" s="147"/>
      <c r="C445" s="147"/>
    </row>
    <row r="446">
      <c r="A446" s="147"/>
      <c r="B446" s="147"/>
      <c r="C446" s="147"/>
    </row>
    <row r="447">
      <c r="A447" s="147"/>
      <c r="B447" s="147"/>
      <c r="C447" s="147"/>
    </row>
    <row r="448">
      <c r="A448" s="147"/>
      <c r="B448" s="147"/>
      <c r="C448" s="147"/>
    </row>
    <row r="449">
      <c r="A449" s="147"/>
      <c r="B449" s="147"/>
      <c r="C449" s="147"/>
    </row>
    <row r="450">
      <c r="A450" s="147"/>
      <c r="B450" s="147"/>
      <c r="C450" s="147"/>
    </row>
    <row r="451">
      <c r="A451" s="147"/>
      <c r="B451" s="147"/>
      <c r="C451" s="147"/>
    </row>
    <row r="452">
      <c r="A452" s="147"/>
      <c r="B452" s="147"/>
      <c r="C452" s="147"/>
    </row>
    <row r="453">
      <c r="A453" s="147"/>
      <c r="B453" s="147"/>
      <c r="C453" s="147"/>
    </row>
    <row r="454">
      <c r="A454" s="147"/>
      <c r="B454" s="147"/>
      <c r="C454" s="147"/>
    </row>
    <row r="455">
      <c r="A455" s="147"/>
      <c r="B455" s="147"/>
      <c r="C455" s="147"/>
    </row>
    <row r="456">
      <c r="A456" s="147"/>
      <c r="B456" s="147"/>
      <c r="C456" s="147"/>
    </row>
    <row r="457">
      <c r="A457" s="147"/>
      <c r="B457" s="147"/>
      <c r="C457" s="147"/>
    </row>
    <row r="458">
      <c r="A458" s="147"/>
      <c r="B458" s="147"/>
      <c r="C458" s="147"/>
    </row>
    <row r="459">
      <c r="A459" s="147"/>
      <c r="B459" s="147"/>
      <c r="C459" s="147"/>
    </row>
    <row r="460">
      <c r="A460" s="147"/>
      <c r="B460" s="147"/>
      <c r="C460" s="147"/>
    </row>
    <row r="461">
      <c r="A461" s="147"/>
      <c r="B461" s="147"/>
      <c r="C461" s="147"/>
    </row>
    <row r="462">
      <c r="A462" s="147"/>
      <c r="B462" s="147"/>
      <c r="C462" s="147"/>
    </row>
    <row r="463">
      <c r="A463" s="147"/>
      <c r="B463" s="147"/>
      <c r="C463" s="147"/>
    </row>
    <row r="464">
      <c r="A464" s="147"/>
      <c r="B464" s="147"/>
      <c r="C464" s="147"/>
    </row>
    <row r="465">
      <c r="A465" s="147"/>
      <c r="B465" s="147"/>
      <c r="C465" s="147"/>
    </row>
    <row r="466">
      <c r="A466" s="147"/>
      <c r="B466" s="147"/>
      <c r="C466" s="147"/>
    </row>
    <row r="467">
      <c r="A467" s="147"/>
      <c r="B467" s="147"/>
      <c r="C467" s="147"/>
    </row>
    <row r="468">
      <c r="A468" s="147"/>
      <c r="B468" s="147"/>
      <c r="C468" s="147"/>
    </row>
    <row r="469">
      <c r="A469" s="147"/>
      <c r="B469" s="147"/>
      <c r="C469" s="147"/>
    </row>
    <row r="470">
      <c r="A470" s="147"/>
      <c r="B470" s="147"/>
      <c r="C470" s="147"/>
    </row>
    <row r="471">
      <c r="A471" s="147"/>
      <c r="B471" s="147"/>
      <c r="C471" s="147"/>
    </row>
    <row r="472">
      <c r="A472" s="147"/>
      <c r="B472" s="147"/>
      <c r="C472" s="147"/>
    </row>
    <row r="473">
      <c r="A473" s="147"/>
      <c r="B473" s="147"/>
      <c r="C473" s="147"/>
    </row>
    <row r="474">
      <c r="A474" s="147"/>
      <c r="B474" s="147"/>
      <c r="C474" s="147"/>
    </row>
    <row r="475">
      <c r="A475" s="147"/>
      <c r="B475" s="147"/>
      <c r="C475" s="147"/>
    </row>
    <row r="476">
      <c r="A476" s="147"/>
      <c r="B476" s="147"/>
      <c r="C476" s="147"/>
    </row>
    <row r="477">
      <c r="A477" s="147"/>
      <c r="B477" s="147"/>
      <c r="C477" s="147"/>
    </row>
    <row r="478">
      <c r="A478" s="147"/>
      <c r="B478" s="147"/>
      <c r="C478" s="147"/>
    </row>
    <row r="479">
      <c r="A479" s="147"/>
      <c r="B479" s="147"/>
      <c r="C479" s="147"/>
    </row>
    <row r="480">
      <c r="A480" s="147"/>
      <c r="B480" s="147"/>
      <c r="C480" s="147"/>
    </row>
    <row r="481">
      <c r="A481" s="147"/>
      <c r="B481" s="147"/>
      <c r="C481" s="147"/>
    </row>
    <row r="482">
      <c r="A482" s="147"/>
      <c r="B482" s="147"/>
      <c r="C482" s="147"/>
    </row>
    <row r="483">
      <c r="A483" s="147"/>
      <c r="B483" s="147"/>
      <c r="C483" s="147"/>
    </row>
    <row r="484">
      <c r="A484" s="147"/>
      <c r="B484" s="147"/>
      <c r="C484" s="147"/>
    </row>
    <row r="485">
      <c r="A485" s="147"/>
      <c r="B485" s="147"/>
      <c r="C485" s="147"/>
    </row>
    <row r="486">
      <c r="A486" s="147"/>
      <c r="B486" s="147"/>
      <c r="C486" s="147"/>
    </row>
    <row r="487">
      <c r="A487" s="147"/>
      <c r="B487" s="147"/>
      <c r="C487" s="147"/>
    </row>
    <row r="488">
      <c r="A488" s="147"/>
      <c r="B488" s="147"/>
      <c r="C488" s="147"/>
    </row>
    <row r="489">
      <c r="A489" s="147"/>
      <c r="B489" s="147"/>
      <c r="C489" s="147"/>
    </row>
    <row r="490">
      <c r="A490" s="147"/>
      <c r="B490" s="147"/>
      <c r="C490" s="147"/>
    </row>
    <row r="491">
      <c r="A491" s="147"/>
      <c r="B491" s="147"/>
      <c r="C491" s="147"/>
    </row>
    <row r="492">
      <c r="A492" s="147"/>
      <c r="B492" s="147"/>
      <c r="C492" s="147"/>
    </row>
    <row r="493">
      <c r="A493" s="147"/>
      <c r="B493" s="147"/>
      <c r="C493" s="147"/>
    </row>
    <row r="494">
      <c r="A494" s="147"/>
      <c r="B494" s="147"/>
      <c r="C494" s="147"/>
    </row>
    <row r="495">
      <c r="A495" s="147"/>
      <c r="B495" s="147"/>
      <c r="C495" s="147"/>
    </row>
    <row r="496">
      <c r="A496" s="147"/>
      <c r="B496" s="147"/>
      <c r="C496" s="147"/>
    </row>
    <row r="497">
      <c r="A497" s="147"/>
      <c r="B497" s="147"/>
      <c r="C497" s="147"/>
    </row>
    <row r="498">
      <c r="A498" s="147"/>
      <c r="B498" s="147"/>
      <c r="C498" s="147"/>
    </row>
    <row r="499">
      <c r="A499" s="147"/>
      <c r="B499" s="147"/>
      <c r="C499" s="147"/>
    </row>
    <row r="500">
      <c r="A500" s="147"/>
      <c r="B500" s="147"/>
      <c r="C500" s="147"/>
    </row>
    <row r="501">
      <c r="A501" s="147"/>
      <c r="B501" s="147"/>
      <c r="C501" s="147"/>
    </row>
    <row r="502">
      <c r="A502" s="147"/>
      <c r="B502" s="147"/>
      <c r="C502" s="147"/>
    </row>
    <row r="503">
      <c r="A503" s="147"/>
      <c r="B503" s="147"/>
      <c r="C503" s="147"/>
    </row>
    <row r="504">
      <c r="A504" s="147"/>
      <c r="B504" s="147"/>
      <c r="C504" s="147"/>
    </row>
    <row r="505">
      <c r="A505" s="147"/>
      <c r="B505" s="147"/>
      <c r="C505" s="147"/>
    </row>
    <row r="506">
      <c r="A506" s="147"/>
      <c r="B506" s="147"/>
      <c r="C506" s="147"/>
    </row>
    <row r="507">
      <c r="A507" s="147"/>
      <c r="B507" s="147"/>
      <c r="C507" s="147"/>
    </row>
    <row r="508">
      <c r="A508" s="147"/>
      <c r="B508" s="147"/>
      <c r="C508" s="147"/>
    </row>
    <row r="509">
      <c r="A509" s="147"/>
      <c r="B509" s="147"/>
      <c r="C509" s="147"/>
    </row>
    <row r="510">
      <c r="A510" s="147"/>
      <c r="B510" s="147"/>
      <c r="C510" s="147"/>
    </row>
    <row r="511">
      <c r="A511" s="147"/>
      <c r="B511" s="147"/>
      <c r="C511" s="147"/>
    </row>
    <row r="512">
      <c r="A512" s="147"/>
      <c r="B512" s="147"/>
      <c r="C512" s="147"/>
    </row>
    <row r="513">
      <c r="A513" s="147"/>
      <c r="B513" s="147"/>
      <c r="C513" s="147"/>
    </row>
    <row r="514">
      <c r="A514" s="147"/>
      <c r="B514" s="147"/>
      <c r="C514" s="147"/>
    </row>
    <row r="515">
      <c r="A515" s="147"/>
      <c r="B515" s="147"/>
      <c r="C515" s="147"/>
    </row>
    <row r="516">
      <c r="A516" s="147"/>
      <c r="B516" s="147"/>
      <c r="C516" s="147"/>
    </row>
    <row r="517">
      <c r="A517" s="147"/>
      <c r="B517" s="147"/>
      <c r="C517" s="147"/>
    </row>
    <row r="518">
      <c r="A518" s="147"/>
      <c r="B518" s="147"/>
      <c r="C518" s="147"/>
    </row>
    <row r="519">
      <c r="A519" s="147"/>
      <c r="B519" s="147"/>
      <c r="C519" s="147"/>
    </row>
    <row r="520">
      <c r="A520" s="147"/>
      <c r="B520" s="147"/>
      <c r="C520" s="147"/>
    </row>
    <row r="521">
      <c r="A521" s="147"/>
      <c r="B521" s="147"/>
      <c r="C521" s="147"/>
    </row>
    <row r="522">
      <c r="A522" s="147"/>
      <c r="B522" s="147"/>
      <c r="C522" s="147"/>
    </row>
    <row r="523">
      <c r="A523" s="147"/>
      <c r="B523" s="147"/>
      <c r="C523" s="147"/>
    </row>
    <row r="524">
      <c r="A524" s="147"/>
      <c r="B524" s="147"/>
      <c r="C524" s="147"/>
    </row>
    <row r="525">
      <c r="A525" s="147"/>
      <c r="B525" s="147"/>
      <c r="C525" s="147"/>
    </row>
    <row r="526">
      <c r="A526" s="147"/>
      <c r="B526" s="147"/>
      <c r="C526" s="147"/>
    </row>
    <row r="527">
      <c r="A527" s="147"/>
      <c r="B527" s="147"/>
      <c r="C527" s="147"/>
    </row>
    <row r="528">
      <c r="A528" s="147"/>
      <c r="B528" s="147"/>
      <c r="C528" s="147"/>
    </row>
    <row r="529">
      <c r="A529" s="147"/>
      <c r="B529" s="147"/>
      <c r="C529" s="147"/>
    </row>
    <row r="530">
      <c r="A530" s="147"/>
      <c r="B530" s="147"/>
      <c r="C530" s="147"/>
    </row>
    <row r="531">
      <c r="A531" s="147"/>
      <c r="B531" s="147"/>
      <c r="C531" s="147"/>
    </row>
    <row r="532">
      <c r="A532" s="147"/>
      <c r="B532" s="147"/>
      <c r="C532" s="147"/>
    </row>
    <row r="533">
      <c r="A533" s="147"/>
      <c r="B533" s="147"/>
      <c r="C533" s="147"/>
    </row>
    <row r="534">
      <c r="A534" s="147"/>
      <c r="B534" s="147"/>
      <c r="C534" s="147"/>
    </row>
    <row r="535">
      <c r="A535" s="147"/>
      <c r="B535" s="147"/>
      <c r="C535" s="147"/>
    </row>
    <row r="536">
      <c r="A536" s="147"/>
      <c r="B536" s="147"/>
      <c r="C536" s="147"/>
    </row>
    <row r="537">
      <c r="A537" s="147"/>
      <c r="B537" s="147"/>
      <c r="C537" s="147"/>
    </row>
    <row r="538">
      <c r="A538" s="147"/>
      <c r="B538" s="147"/>
      <c r="C538" s="147"/>
    </row>
    <row r="539">
      <c r="A539" s="147"/>
      <c r="B539" s="147"/>
      <c r="C539" s="147"/>
    </row>
    <row r="540">
      <c r="A540" s="147"/>
      <c r="B540" s="147"/>
      <c r="C540" s="147"/>
    </row>
    <row r="541">
      <c r="A541" s="147"/>
      <c r="B541" s="147"/>
      <c r="C541" s="147"/>
    </row>
    <row r="542">
      <c r="A542" s="147"/>
      <c r="B542" s="147"/>
      <c r="C542" s="147"/>
    </row>
    <row r="543">
      <c r="A543" s="147"/>
      <c r="B543" s="147"/>
      <c r="C543" s="147"/>
    </row>
    <row r="544">
      <c r="A544" s="147"/>
      <c r="B544" s="147"/>
      <c r="C544" s="147"/>
    </row>
    <row r="545">
      <c r="A545" s="147"/>
      <c r="B545" s="147"/>
      <c r="C545" s="147"/>
    </row>
    <row r="546">
      <c r="A546" s="147"/>
      <c r="B546" s="147"/>
      <c r="C546" s="147"/>
    </row>
    <row r="547">
      <c r="A547" s="147"/>
      <c r="B547" s="147"/>
      <c r="C547" s="147"/>
    </row>
    <row r="548">
      <c r="A548" s="147"/>
      <c r="B548" s="147"/>
      <c r="C548" s="147"/>
    </row>
    <row r="549">
      <c r="A549" s="147"/>
      <c r="B549" s="147"/>
      <c r="C549" s="147"/>
    </row>
    <row r="550">
      <c r="A550" s="147"/>
      <c r="B550" s="147"/>
      <c r="C550" s="147"/>
    </row>
    <row r="551">
      <c r="A551" s="147"/>
      <c r="B551" s="147"/>
      <c r="C551" s="147"/>
    </row>
    <row r="552">
      <c r="A552" s="147"/>
      <c r="B552" s="147"/>
      <c r="C552" s="147"/>
    </row>
    <row r="553">
      <c r="A553" s="147"/>
      <c r="B553" s="147"/>
      <c r="C553" s="147"/>
    </row>
    <row r="554">
      <c r="A554" s="147"/>
      <c r="B554" s="147"/>
      <c r="C554" s="147"/>
    </row>
    <row r="555">
      <c r="A555" s="147"/>
      <c r="B555" s="147"/>
      <c r="C555" s="147"/>
    </row>
    <row r="556">
      <c r="A556" s="147"/>
      <c r="B556" s="147"/>
      <c r="C556" s="147"/>
    </row>
    <row r="557">
      <c r="A557" s="147"/>
      <c r="B557" s="147"/>
      <c r="C557" s="147"/>
    </row>
    <row r="558">
      <c r="A558" s="147"/>
      <c r="B558" s="147"/>
      <c r="C558" s="147"/>
    </row>
    <row r="559">
      <c r="A559" s="147"/>
      <c r="B559" s="147"/>
      <c r="C559" s="147"/>
    </row>
    <row r="560">
      <c r="A560" s="147"/>
      <c r="B560" s="147"/>
      <c r="C560" s="147"/>
    </row>
    <row r="561">
      <c r="A561" s="147"/>
      <c r="B561" s="147"/>
      <c r="C561" s="147"/>
    </row>
    <row r="562">
      <c r="A562" s="147"/>
      <c r="B562" s="147"/>
      <c r="C562" s="147"/>
    </row>
    <row r="563">
      <c r="A563" s="147"/>
      <c r="B563" s="147"/>
      <c r="C563" s="147"/>
    </row>
    <row r="564">
      <c r="A564" s="147"/>
      <c r="B564" s="147"/>
      <c r="C564" s="147"/>
    </row>
    <row r="565">
      <c r="A565" s="147"/>
      <c r="B565" s="147"/>
      <c r="C565" s="147"/>
    </row>
    <row r="566">
      <c r="A566" s="147"/>
      <c r="B566" s="147"/>
      <c r="C566" s="147"/>
    </row>
    <row r="567">
      <c r="A567" s="147"/>
      <c r="B567" s="147"/>
      <c r="C567" s="147"/>
    </row>
    <row r="568">
      <c r="A568" s="147"/>
      <c r="B568" s="147"/>
      <c r="C568" s="147"/>
    </row>
    <row r="569">
      <c r="A569" s="147"/>
      <c r="B569" s="147"/>
      <c r="C569" s="147"/>
    </row>
    <row r="570">
      <c r="A570" s="147"/>
      <c r="B570" s="147"/>
      <c r="C570" s="147"/>
    </row>
    <row r="571">
      <c r="A571" s="147"/>
      <c r="B571" s="147"/>
      <c r="C571" s="147"/>
    </row>
    <row r="572">
      <c r="A572" s="147"/>
      <c r="B572" s="147"/>
      <c r="C572" s="147"/>
    </row>
    <row r="573">
      <c r="A573" s="147"/>
      <c r="B573" s="147"/>
      <c r="C573" s="147"/>
    </row>
    <row r="574">
      <c r="A574" s="147"/>
      <c r="B574" s="147"/>
      <c r="C574" s="147"/>
    </row>
    <row r="575">
      <c r="A575" s="147"/>
      <c r="B575" s="147"/>
      <c r="C575" s="147"/>
    </row>
    <row r="576">
      <c r="A576" s="147"/>
      <c r="B576" s="147"/>
      <c r="C576" s="147"/>
    </row>
    <row r="577">
      <c r="A577" s="147"/>
      <c r="B577" s="147"/>
      <c r="C577" s="147"/>
    </row>
    <row r="578">
      <c r="A578" s="147"/>
      <c r="B578" s="147"/>
      <c r="C578" s="147"/>
    </row>
    <row r="579">
      <c r="A579" s="147"/>
      <c r="B579" s="147"/>
      <c r="C579" s="147"/>
    </row>
    <row r="580">
      <c r="A580" s="147"/>
      <c r="B580" s="147"/>
      <c r="C580" s="147"/>
    </row>
    <row r="581">
      <c r="A581" s="147"/>
      <c r="B581" s="147"/>
      <c r="C581" s="147"/>
    </row>
    <row r="582">
      <c r="A582" s="147"/>
      <c r="B582" s="147"/>
      <c r="C582" s="147"/>
    </row>
    <row r="583">
      <c r="A583" s="147"/>
      <c r="B583" s="147"/>
      <c r="C583" s="147"/>
    </row>
    <row r="584">
      <c r="A584" s="147"/>
      <c r="B584" s="147"/>
      <c r="C584" s="147"/>
    </row>
    <row r="585">
      <c r="A585" s="147"/>
      <c r="B585" s="147"/>
      <c r="C585" s="147"/>
    </row>
    <row r="586">
      <c r="A586" s="147"/>
      <c r="B586" s="147"/>
      <c r="C586" s="147"/>
    </row>
    <row r="587">
      <c r="A587" s="147"/>
      <c r="B587" s="147"/>
      <c r="C587" s="147"/>
    </row>
    <row r="588">
      <c r="A588" s="147"/>
      <c r="B588" s="147"/>
      <c r="C588" s="147"/>
    </row>
    <row r="589">
      <c r="A589" s="147"/>
      <c r="B589" s="147"/>
      <c r="C589" s="147"/>
    </row>
    <row r="590">
      <c r="A590" s="147"/>
      <c r="B590" s="147"/>
      <c r="C590" s="147"/>
    </row>
    <row r="591">
      <c r="A591" s="147"/>
      <c r="B591" s="147"/>
      <c r="C591" s="147"/>
    </row>
    <row r="592">
      <c r="A592" s="147"/>
      <c r="B592" s="147"/>
      <c r="C592" s="147"/>
    </row>
    <row r="593">
      <c r="A593" s="147"/>
      <c r="B593" s="147"/>
      <c r="C593" s="147"/>
    </row>
    <row r="594">
      <c r="A594" s="147"/>
      <c r="B594" s="147"/>
      <c r="C594" s="147"/>
    </row>
    <row r="595">
      <c r="A595" s="147"/>
      <c r="B595" s="147"/>
      <c r="C595" s="147"/>
    </row>
    <row r="596">
      <c r="A596" s="147"/>
      <c r="B596" s="147"/>
      <c r="C596" s="147"/>
    </row>
    <row r="597">
      <c r="A597" s="147"/>
      <c r="B597" s="147"/>
      <c r="C597" s="147"/>
    </row>
    <row r="598">
      <c r="A598" s="147"/>
      <c r="B598" s="147"/>
      <c r="C598" s="147"/>
    </row>
    <row r="599">
      <c r="A599" s="147"/>
      <c r="B599" s="147"/>
      <c r="C599" s="147"/>
    </row>
    <row r="600">
      <c r="A600" s="147"/>
      <c r="B600" s="147"/>
      <c r="C600" s="147"/>
    </row>
    <row r="601">
      <c r="A601" s="147"/>
      <c r="B601" s="147"/>
      <c r="C601" s="147"/>
    </row>
    <row r="602">
      <c r="A602" s="147"/>
      <c r="B602" s="147"/>
      <c r="C602" s="147"/>
    </row>
    <row r="603">
      <c r="A603" s="147"/>
      <c r="B603" s="147"/>
      <c r="C603" s="147"/>
    </row>
    <row r="604">
      <c r="A604" s="147"/>
      <c r="B604" s="147"/>
      <c r="C604" s="147"/>
    </row>
    <row r="605">
      <c r="A605" s="147"/>
      <c r="B605" s="147"/>
      <c r="C605" s="147"/>
    </row>
    <row r="606">
      <c r="A606" s="147"/>
      <c r="B606" s="147"/>
      <c r="C606" s="147"/>
    </row>
    <row r="607">
      <c r="A607" s="147"/>
      <c r="B607" s="147"/>
      <c r="C607" s="147"/>
    </row>
    <row r="608">
      <c r="A608" s="147"/>
      <c r="B608" s="147"/>
      <c r="C608" s="147"/>
    </row>
    <row r="609">
      <c r="A609" s="147"/>
      <c r="B609" s="147"/>
      <c r="C609" s="147"/>
    </row>
    <row r="610">
      <c r="A610" s="147"/>
      <c r="B610" s="147"/>
      <c r="C610" s="147"/>
    </row>
    <row r="611">
      <c r="A611" s="147"/>
      <c r="B611" s="147"/>
      <c r="C611" s="147"/>
    </row>
    <row r="612">
      <c r="A612" s="147"/>
      <c r="B612" s="147"/>
      <c r="C612" s="147"/>
    </row>
    <row r="613">
      <c r="A613" s="147"/>
      <c r="B613" s="147"/>
      <c r="C613" s="147"/>
    </row>
    <row r="614">
      <c r="A614" s="147"/>
      <c r="B614" s="147"/>
      <c r="C614" s="147"/>
    </row>
    <row r="615">
      <c r="A615" s="147"/>
      <c r="B615" s="147"/>
      <c r="C615" s="147"/>
    </row>
    <row r="616">
      <c r="A616" s="147"/>
      <c r="B616" s="147"/>
      <c r="C616" s="147"/>
    </row>
    <row r="617">
      <c r="A617" s="147"/>
      <c r="B617" s="147"/>
      <c r="C617" s="147"/>
    </row>
    <row r="618">
      <c r="A618" s="147"/>
      <c r="B618" s="147"/>
      <c r="C618" s="147"/>
    </row>
    <row r="619">
      <c r="A619" s="147"/>
      <c r="B619" s="147"/>
      <c r="C619" s="147"/>
    </row>
    <row r="620">
      <c r="A620" s="147"/>
      <c r="B620" s="147"/>
      <c r="C620" s="147"/>
    </row>
    <row r="621">
      <c r="A621" s="147"/>
      <c r="B621" s="147"/>
      <c r="C621" s="147"/>
    </row>
    <row r="622">
      <c r="A622" s="147"/>
      <c r="B622" s="147"/>
      <c r="C622" s="147"/>
    </row>
    <row r="623">
      <c r="A623" s="147"/>
      <c r="B623" s="147"/>
      <c r="C623" s="147"/>
    </row>
    <row r="624">
      <c r="A624" s="147"/>
      <c r="B624" s="147"/>
      <c r="C624" s="147"/>
    </row>
    <row r="625">
      <c r="A625" s="147"/>
      <c r="B625" s="147"/>
      <c r="C625" s="147"/>
    </row>
    <row r="626">
      <c r="A626" s="147"/>
      <c r="B626" s="147"/>
      <c r="C626" s="147"/>
    </row>
    <row r="627">
      <c r="A627" s="147"/>
      <c r="B627" s="147"/>
      <c r="C627" s="147"/>
    </row>
    <row r="628">
      <c r="A628" s="147"/>
      <c r="B628" s="147"/>
      <c r="C628" s="147"/>
    </row>
    <row r="629">
      <c r="A629" s="147"/>
      <c r="B629" s="147"/>
      <c r="C629" s="147"/>
    </row>
    <row r="630">
      <c r="A630" s="147"/>
      <c r="B630" s="147"/>
      <c r="C630" s="147"/>
    </row>
    <row r="631">
      <c r="A631" s="147"/>
      <c r="B631" s="147"/>
      <c r="C631" s="147"/>
    </row>
    <row r="632">
      <c r="A632" s="147"/>
      <c r="B632" s="147"/>
      <c r="C632" s="147"/>
    </row>
    <row r="633">
      <c r="A633" s="147"/>
      <c r="B633" s="147"/>
      <c r="C633" s="147"/>
    </row>
    <row r="634">
      <c r="A634" s="147"/>
      <c r="B634" s="147"/>
      <c r="C634" s="147"/>
    </row>
    <row r="635">
      <c r="A635" s="147"/>
      <c r="B635" s="147"/>
      <c r="C635" s="147"/>
    </row>
    <row r="636">
      <c r="A636" s="147"/>
      <c r="B636" s="147"/>
      <c r="C636" s="147"/>
    </row>
    <row r="637">
      <c r="A637" s="147"/>
      <c r="B637" s="147"/>
      <c r="C637" s="147"/>
    </row>
    <row r="638">
      <c r="A638" s="147"/>
      <c r="B638" s="147"/>
      <c r="C638" s="147"/>
    </row>
    <row r="639">
      <c r="A639" s="147"/>
      <c r="B639" s="147"/>
      <c r="C639" s="147"/>
    </row>
    <row r="640">
      <c r="A640" s="147"/>
      <c r="B640" s="147"/>
      <c r="C640" s="147"/>
    </row>
    <row r="641">
      <c r="A641" s="147"/>
      <c r="B641" s="147"/>
      <c r="C641" s="147"/>
    </row>
    <row r="642">
      <c r="A642" s="147"/>
      <c r="B642" s="147"/>
      <c r="C642" s="147"/>
    </row>
    <row r="643">
      <c r="A643" s="147"/>
      <c r="B643" s="147"/>
      <c r="C643" s="147"/>
    </row>
    <row r="644">
      <c r="A644" s="147"/>
      <c r="B644" s="147"/>
      <c r="C644" s="147"/>
    </row>
    <row r="645">
      <c r="A645" s="147"/>
      <c r="B645" s="147"/>
      <c r="C645" s="147"/>
    </row>
    <row r="646">
      <c r="A646" s="147"/>
      <c r="B646" s="147"/>
      <c r="C646" s="147"/>
    </row>
    <row r="647">
      <c r="A647" s="147"/>
      <c r="B647" s="147"/>
      <c r="C647" s="147"/>
    </row>
    <row r="648">
      <c r="A648" s="147"/>
      <c r="B648" s="147"/>
      <c r="C648" s="147"/>
    </row>
    <row r="649">
      <c r="A649" s="147"/>
      <c r="B649" s="147"/>
      <c r="C649" s="147"/>
    </row>
    <row r="650">
      <c r="A650" s="147"/>
      <c r="B650" s="147"/>
      <c r="C650" s="147"/>
    </row>
    <row r="651">
      <c r="A651" s="147"/>
      <c r="B651" s="147"/>
      <c r="C651" s="147"/>
    </row>
    <row r="652">
      <c r="A652" s="147"/>
      <c r="B652" s="147"/>
      <c r="C652" s="147"/>
    </row>
    <row r="653">
      <c r="A653" s="147"/>
      <c r="B653" s="147"/>
      <c r="C653" s="147"/>
    </row>
    <row r="654">
      <c r="A654" s="147"/>
      <c r="B654" s="147"/>
      <c r="C654" s="147"/>
    </row>
    <row r="655">
      <c r="A655" s="147"/>
      <c r="B655" s="147"/>
      <c r="C655" s="147"/>
    </row>
    <row r="656">
      <c r="A656" s="147"/>
      <c r="B656" s="147"/>
      <c r="C656" s="147"/>
    </row>
    <row r="657">
      <c r="A657" s="147"/>
      <c r="B657" s="147"/>
      <c r="C657" s="147"/>
    </row>
    <row r="658">
      <c r="A658" s="147"/>
      <c r="B658" s="147"/>
      <c r="C658" s="147"/>
    </row>
    <row r="659">
      <c r="A659" s="147"/>
      <c r="B659" s="147"/>
      <c r="C659" s="147"/>
    </row>
    <row r="660">
      <c r="A660" s="147"/>
      <c r="B660" s="147"/>
      <c r="C660" s="147"/>
    </row>
    <row r="661">
      <c r="A661" s="147"/>
      <c r="B661" s="147"/>
      <c r="C661" s="147"/>
    </row>
    <row r="662">
      <c r="A662" s="147"/>
      <c r="B662" s="147"/>
      <c r="C662" s="147"/>
    </row>
    <row r="663">
      <c r="A663" s="147"/>
      <c r="B663" s="147"/>
      <c r="C663" s="147"/>
    </row>
    <row r="664">
      <c r="A664" s="147"/>
      <c r="B664" s="147"/>
      <c r="C664" s="147"/>
    </row>
    <row r="665">
      <c r="A665" s="147"/>
      <c r="B665" s="147"/>
      <c r="C665" s="147"/>
    </row>
    <row r="666">
      <c r="A666" s="147"/>
      <c r="B666" s="147"/>
      <c r="C666" s="147"/>
    </row>
    <row r="667">
      <c r="A667" s="147"/>
      <c r="B667" s="147"/>
      <c r="C667" s="147"/>
    </row>
    <row r="668">
      <c r="A668" s="147"/>
      <c r="B668" s="147"/>
      <c r="C668" s="147"/>
    </row>
    <row r="669">
      <c r="A669" s="147"/>
      <c r="B669" s="147"/>
      <c r="C669" s="147"/>
    </row>
    <row r="670">
      <c r="A670" s="147"/>
      <c r="B670" s="147"/>
      <c r="C670" s="147"/>
    </row>
    <row r="671">
      <c r="A671" s="147"/>
      <c r="B671" s="147"/>
      <c r="C671" s="147"/>
    </row>
    <row r="672">
      <c r="A672" s="147"/>
      <c r="B672" s="147"/>
      <c r="C672" s="147"/>
    </row>
    <row r="673">
      <c r="A673" s="147"/>
      <c r="B673" s="147"/>
      <c r="C673" s="147"/>
    </row>
    <row r="674">
      <c r="A674" s="147"/>
      <c r="B674" s="147"/>
      <c r="C674" s="147"/>
    </row>
    <row r="675">
      <c r="A675" s="147"/>
      <c r="B675" s="147"/>
      <c r="C675" s="147"/>
    </row>
    <row r="676">
      <c r="A676" s="147"/>
      <c r="B676" s="147"/>
      <c r="C676" s="147"/>
    </row>
    <row r="677">
      <c r="A677" s="147"/>
      <c r="B677" s="147"/>
      <c r="C677" s="147"/>
    </row>
    <row r="678">
      <c r="A678" s="147"/>
      <c r="B678" s="147"/>
      <c r="C678" s="147"/>
    </row>
    <row r="679">
      <c r="A679" s="147"/>
      <c r="B679" s="147"/>
      <c r="C679" s="147"/>
    </row>
    <row r="680">
      <c r="A680" s="147"/>
      <c r="B680" s="147"/>
      <c r="C680" s="147"/>
    </row>
    <row r="681">
      <c r="A681" s="147"/>
      <c r="B681" s="147"/>
      <c r="C681" s="147"/>
    </row>
    <row r="682">
      <c r="A682" s="147"/>
      <c r="B682" s="147"/>
      <c r="C682" s="147"/>
    </row>
    <row r="683">
      <c r="A683" s="147"/>
      <c r="B683" s="147"/>
      <c r="C683" s="147"/>
    </row>
    <row r="684">
      <c r="A684" s="147"/>
      <c r="B684" s="147"/>
      <c r="C684" s="147"/>
    </row>
    <row r="685">
      <c r="A685" s="147"/>
      <c r="B685" s="147"/>
      <c r="C685" s="147"/>
    </row>
    <row r="686">
      <c r="A686" s="147"/>
      <c r="B686" s="147"/>
      <c r="C686" s="147"/>
    </row>
    <row r="687">
      <c r="A687" s="147"/>
      <c r="B687" s="147"/>
      <c r="C687" s="147"/>
    </row>
    <row r="688">
      <c r="A688" s="147"/>
      <c r="B688" s="147"/>
      <c r="C688" s="147"/>
    </row>
    <row r="689">
      <c r="A689" s="147"/>
      <c r="B689" s="147"/>
      <c r="C689" s="147"/>
    </row>
    <row r="690">
      <c r="A690" s="147"/>
      <c r="B690" s="147"/>
      <c r="C690" s="147"/>
    </row>
    <row r="691">
      <c r="A691" s="147"/>
      <c r="B691" s="147"/>
      <c r="C691" s="147"/>
    </row>
    <row r="692">
      <c r="A692" s="147"/>
      <c r="B692" s="147"/>
      <c r="C692" s="147"/>
    </row>
    <row r="693">
      <c r="A693" s="147"/>
      <c r="B693" s="147"/>
      <c r="C693" s="147"/>
    </row>
    <row r="694">
      <c r="A694" s="147"/>
      <c r="B694" s="147"/>
      <c r="C694" s="147"/>
    </row>
    <row r="695">
      <c r="A695" s="147"/>
      <c r="B695" s="147"/>
      <c r="C695" s="147"/>
    </row>
    <row r="696">
      <c r="A696" s="147"/>
      <c r="B696" s="147"/>
      <c r="C696" s="147"/>
    </row>
    <row r="697">
      <c r="A697" s="147"/>
      <c r="B697" s="147"/>
      <c r="C697" s="147"/>
    </row>
    <row r="698">
      <c r="A698" s="147"/>
      <c r="B698" s="147"/>
      <c r="C698" s="147"/>
    </row>
    <row r="699">
      <c r="A699" s="147"/>
      <c r="B699" s="147"/>
      <c r="C699" s="147"/>
    </row>
    <row r="700">
      <c r="A700" s="147"/>
      <c r="B700" s="147"/>
      <c r="C700" s="147"/>
    </row>
    <row r="701">
      <c r="A701" s="147"/>
      <c r="B701" s="147"/>
      <c r="C701" s="147"/>
    </row>
    <row r="702">
      <c r="A702" s="147"/>
      <c r="B702" s="147"/>
      <c r="C702" s="147"/>
    </row>
    <row r="703">
      <c r="A703" s="147"/>
      <c r="B703" s="147"/>
      <c r="C703" s="147"/>
    </row>
    <row r="704">
      <c r="A704" s="147"/>
      <c r="B704" s="147"/>
      <c r="C704" s="147"/>
    </row>
    <row r="705">
      <c r="A705" s="147"/>
      <c r="B705" s="147"/>
      <c r="C705" s="147"/>
    </row>
    <row r="706">
      <c r="A706" s="147"/>
      <c r="B706" s="147"/>
      <c r="C706" s="147"/>
    </row>
    <row r="707">
      <c r="A707" s="147"/>
      <c r="B707" s="147"/>
      <c r="C707" s="147"/>
    </row>
    <row r="708">
      <c r="A708" s="147"/>
      <c r="B708" s="147"/>
      <c r="C708" s="147"/>
    </row>
    <row r="709">
      <c r="A709" s="147"/>
      <c r="B709" s="147"/>
      <c r="C709" s="147"/>
    </row>
    <row r="710">
      <c r="A710" s="147"/>
      <c r="B710" s="147"/>
      <c r="C710" s="147"/>
    </row>
    <row r="711">
      <c r="A711" s="147"/>
      <c r="B711" s="147"/>
      <c r="C711" s="147"/>
    </row>
    <row r="712">
      <c r="A712" s="147"/>
      <c r="B712" s="147"/>
      <c r="C712" s="147"/>
    </row>
    <row r="713">
      <c r="A713" s="147"/>
      <c r="B713" s="147"/>
      <c r="C713" s="147"/>
    </row>
    <row r="714">
      <c r="A714" s="147"/>
      <c r="B714" s="147"/>
      <c r="C714" s="147"/>
    </row>
    <row r="715">
      <c r="A715" s="147"/>
      <c r="B715" s="147"/>
      <c r="C715" s="147"/>
    </row>
    <row r="716">
      <c r="A716" s="147"/>
      <c r="B716" s="147"/>
      <c r="C716" s="147"/>
    </row>
    <row r="717">
      <c r="A717" s="147"/>
      <c r="B717" s="147"/>
      <c r="C717" s="147"/>
    </row>
    <row r="718">
      <c r="A718" s="147"/>
      <c r="B718" s="147"/>
      <c r="C718" s="147"/>
    </row>
    <row r="719">
      <c r="A719" s="147"/>
      <c r="B719" s="147"/>
      <c r="C719" s="147"/>
    </row>
    <row r="720">
      <c r="A720" s="147"/>
      <c r="B720" s="147"/>
      <c r="C720" s="147"/>
    </row>
    <row r="721">
      <c r="A721" s="147"/>
      <c r="B721" s="147"/>
      <c r="C721" s="147"/>
    </row>
    <row r="722">
      <c r="A722" s="147"/>
      <c r="B722" s="147"/>
      <c r="C722" s="147"/>
    </row>
    <row r="723">
      <c r="A723" s="147"/>
      <c r="B723" s="147"/>
      <c r="C723" s="147"/>
    </row>
    <row r="724">
      <c r="A724" s="147"/>
      <c r="B724" s="147"/>
      <c r="C724" s="147"/>
    </row>
    <row r="725">
      <c r="A725" s="147"/>
      <c r="B725" s="147"/>
      <c r="C725" s="147"/>
    </row>
    <row r="726">
      <c r="A726" s="147"/>
      <c r="B726" s="147"/>
      <c r="C726" s="147"/>
    </row>
    <row r="727">
      <c r="A727" s="147"/>
      <c r="B727" s="147"/>
      <c r="C727" s="147"/>
    </row>
    <row r="728">
      <c r="A728" s="147"/>
      <c r="B728" s="147"/>
      <c r="C728" s="147"/>
    </row>
    <row r="729">
      <c r="A729" s="147"/>
      <c r="B729" s="147"/>
      <c r="C729" s="147"/>
    </row>
    <row r="730">
      <c r="A730" s="147"/>
      <c r="B730" s="147"/>
      <c r="C730" s="147"/>
    </row>
    <row r="731">
      <c r="A731" s="147"/>
      <c r="B731" s="147"/>
      <c r="C731" s="147"/>
    </row>
    <row r="732">
      <c r="A732" s="147"/>
      <c r="B732" s="147"/>
      <c r="C732" s="147"/>
    </row>
    <row r="733">
      <c r="A733" s="147"/>
      <c r="B733" s="147"/>
      <c r="C733" s="147"/>
    </row>
    <row r="734">
      <c r="A734" s="147"/>
      <c r="B734" s="147"/>
      <c r="C734" s="147"/>
    </row>
    <row r="735">
      <c r="A735" s="147"/>
      <c r="B735" s="147"/>
      <c r="C735" s="147"/>
    </row>
    <row r="736">
      <c r="A736" s="147"/>
      <c r="B736" s="147"/>
      <c r="C736" s="147"/>
    </row>
    <row r="737">
      <c r="A737" s="147"/>
      <c r="B737" s="147"/>
      <c r="C737" s="147"/>
    </row>
    <row r="738">
      <c r="A738" s="147"/>
      <c r="B738" s="147"/>
      <c r="C738" s="147"/>
    </row>
    <row r="739">
      <c r="A739" s="147"/>
      <c r="B739" s="147"/>
      <c r="C739" s="147"/>
    </row>
    <row r="740">
      <c r="A740" s="147"/>
      <c r="B740" s="147"/>
      <c r="C740" s="147"/>
    </row>
    <row r="741">
      <c r="A741" s="147"/>
      <c r="B741" s="147"/>
      <c r="C741" s="147"/>
    </row>
    <row r="742">
      <c r="A742" s="147"/>
      <c r="B742" s="147"/>
      <c r="C742" s="147"/>
    </row>
    <row r="743">
      <c r="A743" s="147"/>
      <c r="B743" s="147"/>
      <c r="C743" s="147"/>
    </row>
    <row r="744">
      <c r="A744" s="147"/>
      <c r="B744" s="147"/>
      <c r="C744" s="147"/>
    </row>
    <row r="745">
      <c r="A745" s="147"/>
      <c r="B745" s="147"/>
      <c r="C745" s="147"/>
    </row>
    <row r="746">
      <c r="A746" s="147"/>
      <c r="B746" s="147"/>
      <c r="C746" s="147"/>
    </row>
    <row r="747">
      <c r="A747" s="147"/>
      <c r="B747" s="147"/>
      <c r="C747" s="147"/>
    </row>
    <row r="748">
      <c r="A748" s="147"/>
      <c r="B748" s="147"/>
      <c r="C748" s="147"/>
    </row>
    <row r="749">
      <c r="A749" s="147"/>
      <c r="B749" s="147"/>
      <c r="C749" s="147"/>
    </row>
    <row r="750">
      <c r="A750" s="147"/>
      <c r="B750" s="147"/>
      <c r="C750" s="147"/>
    </row>
    <row r="751">
      <c r="A751" s="147"/>
      <c r="B751" s="147"/>
      <c r="C751" s="147"/>
    </row>
    <row r="752">
      <c r="A752" s="147"/>
      <c r="B752" s="147"/>
      <c r="C752" s="147"/>
    </row>
    <row r="753">
      <c r="A753" s="147"/>
      <c r="B753" s="147"/>
      <c r="C753" s="147"/>
    </row>
    <row r="754">
      <c r="A754" s="147"/>
      <c r="B754" s="147"/>
      <c r="C754" s="147"/>
    </row>
    <row r="755">
      <c r="A755" s="147"/>
      <c r="B755" s="147"/>
      <c r="C755" s="147"/>
    </row>
    <row r="756">
      <c r="A756" s="147"/>
      <c r="B756" s="147"/>
      <c r="C756" s="147"/>
    </row>
    <row r="757">
      <c r="A757" s="147"/>
      <c r="B757" s="147"/>
      <c r="C757" s="147"/>
    </row>
    <row r="758">
      <c r="A758" s="147"/>
      <c r="B758" s="147"/>
      <c r="C758" s="147"/>
    </row>
    <row r="759">
      <c r="A759" s="147"/>
      <c r="B759" s="147"/>
      <c r="C759" s="147"/>
    </row>
    <row r="760">
      <c r="A760" s="147"/>
      <c r="B760" s="147"/>
      <c r="C760" s="147"/>
    </row>
    <row r="761">
      <c r="A761" s="147"/>
      <c r="B761" s="147"/>
      <c r="C761" s="147"/>
    </row>
    <row r="762">
      <c r="A762" s="147"/>
      <c r="B762" s="147"/>
      <c r="C762" s="147"/>
    </row>
    <row r="763">
      <c r="A763" s="147"/>
      <c r="B763" s="147"/>
      <c r="C763" s="147"/>
    </row>
    <row r="764">
      <c r="A764" s="147"/>
      <c r="B764" s="147"/>
      <c r="C764" s="147"/>
    </row>
    <row r="765">
      <c r="A765" s="147"/>
      <c r="B765" s="147"/>
      <c r="C765" s="147"/>
    </row>
    <row r="766">
      <c r="A766" s="147"/>
      <c r="B766" s="147"/>
      <c r="C766" s="147"/>
    </row>
    <row r="767">
      <c r="A767" s="147"/>
      <c r="B767" s="147"/>
      <c r="C767" s="147"/>
    </row>
    <row r="768">
      <c r="A768" s="147"/>
      <c r="B768" s="147"/>
      <c r="C768" s="147"/>
    </row>
    <row r="769">
      <c r="A769" s="147"/>
      <c r="B769" s="147"/>
      <c r="C769" s="147"/>
    </row>
    <row r="770">
      <c r="A770" s="147"/>
      <c r="B770" s="147"/>
      <c r="C770" s="147"/>
    </row>
    <row r="771">
      <c r="A771" s="147"/>
      <c r="B771" s="147"/>
      <c r="C771" s="147"/>
    </row>
    <row r="772">
      <c r="A772" s="147"/>
      <c r="B772" s="147"/>
      <c r="C772" s="147"/>
    </row>
    <row r="773">
      <c r="A773" s="147"/>
      <c r="B773" s="147"/>
      <c r="C773" s="147"/>
    </row>
    <row r="774">
      <c r="A774" s="147"/>
      <c r="B774" s="147"/>
      <c r="C774" s="147"/>
    </row>
    <row r="775">
      <c r="A775" s="147"/>
      <c r="B775" s="147"/>
      <c r="C775" s="147"/>
    </row>
    <row r="776">
      <c r="A776" s="147"/>
      <c r="B776" s="147"/>
      <c r="C776" s="147"/>
    </row>
    <row r="777">
      <c r="A777" s="147"/>
      <c r="B777" s="147"/>
      <c r="C777" s="147"/>
    </row>
    <row r="778">
      <c r="A778" s="147"/>
      <c r="B778" s="147"/>
      <c r="C778" s="147"/>
    </row>
    <row r="779">
      <c r="A779" s="147"/>
      <c r="B779" s="147"/>
      <c r="C779" s="147"/>
    </row>
    <row r="780">
      <c r="A780" s="147"/>
      <c r="B780" s="147"/>
      <c r="C780" s="147"/>
    </row>
    <row r="781">
      <c r="A781" s="147"/>
      <c r="B781" s="147"/>
      <c r="C781" s="147"/>
    </row>
    <row r="782">
      <c r="A782" s="147"/>
      <c r="B782" s="147"/>
      <c r="C782" s="147"/>
    </row>
    <row r="783">
      <c r="A783" s="147"/>
      <c r="B783" s="147"/>
      <c r="C783" s="147"/>
    </row>
    <row r="784">
      <c r="A784" s="147"/>
      <c r="B784" s="147"/>
      <c r="C784" s="147"/>
    </row>
    <row r="785">
      <c r="A785" s="147"/>
      <c r="B785" s="147"/>
      <c r="C785" s="147"/>
    </row>
    <row r="786">
      <c r="A786" s="147"/>
      <c r="B786" s="147"/>
      <c r="C786" s="147"/>
    </row>
    <row r="787">
      <c r="A787" s="147"/>
      <c r="B787" s="147"/>
      <c r="C787" s="147"/>
    </row>
    <row r="788">
      <c r="A788" s="147"/>
      <c r="B788" s="147"/>
      <c r="C788" s="147"/>
    </row>
    <row r="789">
      <c r="A789" s="147"/>
      <c r="B789" s="147"/>
      <c r="C789" s="147"/>
    </row>
    <row r="790">
      <c r="A790" s="147"/>
      <c r="B790" s="147"/>
      <c r="C790" s="147"/>
    </row>
    <row r="791">
      <c r="A791" s="147"/>
      <c r="B791" s="147"/>
      <c r="C791" s="147"/>
    </row>
    <row r="792">
      <c r="A792" s="147"/>
      <c r="B792" s="147"/>
      <c r="C792" s="147"/>
    </row>
    <row r="793">
      <c r="A793" s="147"/>
      <c r="B793" s="147"/>
      <c r="C793" s="147"/>
    </row>
    <row r="794">
      <c r="A794" s="147"/>
      <c r="B794" s="147"/>
      <c r="C794" s="147"/>
    </row>
    <row r="795">
      <c r="A795" s="147"/>
      <c r="B795" s="147"/>
      <c r="C795" s="147"/>
    </row>
    <row r="796">
      <c r="A796" s="147"/>
      <c r="B796" s="147"/>
      <c r="C796" s="147"/>
    </row>
    <row r="797">
      <c r="A797" s="147"/>
      <c r="B797" s="147"/>
      <c r="C797" s="147"/>
    </row>
    <row r="798">
      <c r="A798" s="147"/>
      <c r="B798" s="147"/>
      <c r="C798" s="147"/>
    </row>
    <row r="799">
      <c r="A799" s="147"/>
      <c r="B799" s="147"/>
      <c r="C799" s="147"/>
    </row>
    <row r="800">
      <c r="A800" s="147"/>
      <c r="B800" s="147"/>
      <c r="C800" s="147"/>
    </row>
    <row r="801">
      <c r="A801" s="147"/>
      <c r="B801" s="147"/>
      <c r="C801" s="147"/>
    </row>
    <row r="802">
      <c r="A802" s="147"/>
      <c r="B802" s="147"/>
      <c r="C802" s="147"/>
    </row>
    <row r="803">
      <c r="A803" s="147"/>
      <c r="B803" s="147"/>
      <c r="C803" s="147"/>
    </row>
    <row r="804">
      <c r="A804" s="147"/>
      <c r="B804" s="147"/>
      <c r="C804" s="147"/>
    </row>
    <row r="805">
      <c r="A805" s="147"/>
      <c r="B805" s="147"/>
      <c r="C805" s="147"/>
    </row>
    <row r="806">
      <c r="A806" s="147"/>
      <c r="B806" s="147"/>
      <c r="C806" s="147"/>
    </row>
    <row r="807">
      <c r="A807" s="147"/>
      <c r="B807" s="147"/>
      <c r="C807" s="147"/>
    </row>
    <row r="808">
      <c r="A808" s="147"/>
      <c r="B808" s="147"/>
      <c r="C808" s="147"/>
    </row>
    <row r="809">
      <c r="A809" s="147"/>
      <c r="B809" s="147"/>
      <c r="C809" s="147"/>
    </row>
    <row r="810">
      <c r="A810" s="147"/>
      <c r="B810" s="147"/>
      <c r="C810" s="147"/>
    </row>
    <row r="811">
      <c r="A811" s="147"/>
      <c r="B811" s="147"/>
      <c r="C811" s="147"/>
    </row>
    <row r="812">
      <c r="A812" s="147"/>
      <c r="B812" s="147"/>
      <c r="C812" s="147"/>
    </row>
    <row r="813">
      <c r="A813" s="147"/>
      <c r="B813" s="147"/>
      <c r="C813" s="147"/>
    </row>
    <row r="814">
      <c r="A814" s="147"/>
      <c r="B814" s="147"/>
      <c r="C814" s="147"/>
    </row>
    <row r="815">
      <c r="A815" s="147"/>
      <c r="B815" s="147"/>
      <c r="C815" s="147"/>
    </row>
    <row r="816">
      <c r="A816" s="147"/>
      <c r="B816" s="147"/>
      <c r="C816" s="147"/>
    </row>
    <row r="817">
      <c r="A817" s="147"/>
      <c r="B817" s="147"/>
      <c r="C817" s="147"/>
    </row>
    <row r="818">
      <c r="A818" s="147"/>
      <c r="B818" s="147"/>
      <c r="C818" s="147"/>
    </row>
    <row r="819">
      <c r="A819" s="147"/>
      <c r="B819" s="147"/>
      <c r="C819" s="147"/>
    </row>
    <row r="820">
      <c r="A820" s="147"/>
      <c r="B820" s="147"/>
      <c r="C820" s="147"/>
    </row>
    <row r="821">
      <c r="A821" s="147"/>
      <c r="B821" s="147"/>
      <c r="C821" s="147"/>
    </row>
    <row r="822">
      <c r="A822" s="147"/>
      <c r="B822" s="147"/>
      <c r="C822" s="147"/>
    </row>
    <row r="823">
      <c r="A823" s="147"/>
      <c r="B823" s="147"/>
      <c r="C823" s="147"/>
    </row>
    <row r="824">
      <c r="A824" s="147"/>
      <c r="B824" s="147"/>
      <c r="C824" s="147"/>
    </row>
    <row r="825">
      <c r="A825" s="147"/>
      <c r="B825" s="147"/>
      <c r="C825" s="147"/>
    </row>
    <row r="826">
      <c r="A826" s="147"/>
      <c r="B826" s="147"/>
      <c r="C826" s="147"/>
    </row>
    <row r="827">
      <c r="A827" s="147"/>
      <c r="B827" s="147"/>
      <c r="C827" s="147"/>
    </row>
    <row r="828">
      <c r="A828" s="147"/>
      <c r="B828" s="147"/>
      <c r="C828" s="147"/>
    </row>
    <row r="829">
      <c r="A829" s="147"/>
      <c r="B829" s="147"/>
      <c r="C829" s="147"/>
    </row>
    <row r="830">
      <c r="A830" s="147"/>
      <c r="B830" s="147"/>
      <c r="C830" s="147"/>
    </row>
    <row r="831">
      <c r="A831" s="147"/>
      <c r="B831" s="147"/>
      <c r="C831" s="147"/>
    </row>
    <row r="832">
      <c r="A832" s="147"/>
      <c r="B832" s="147"/>
      <c r="C832" s="147"/>
    </row>
    <row r="833">
      <c r="A833" s="147"/>
      <c r="B833" s="147"/>
      <c r="C833" s="147"/>
    </row>
    <row r="834">
      <c r="A834" s="147"/>
      <c r="B834" s="147"/>
      <c r="C834" s="147"/>
    </row>
    <row r="835">
      <c r="A835" s="147"/>
      <c r="B835" s="147"/>
      <c r="C835" s="147"/>
    </row>
    <row r="836">
      <c r="A836" s="147"/>
      <c r="B836" s="147"/>
      <c r="C836" s="147"/>
    </row>
    <row r="837">
      <c r="A837" s="147"/>
      <c r="B837" s="147"/>
      <c r="C837" s="147"/>
    </row>
    <row r="838">
      <c r="A838" s="147"/>
      <c r="B838" s="147"/>
      <c r="C838" s="147"/>
    </row>
    <row r="839">
      <c r="A839" s="147"/>
      <c r="B839" s="147"/>
      <c r="C839" s="147"/>
    </row>
    <row r="840">
      <c r="A840" s="147"/>
      <c r="B840" s="147"/>
      <c r="C840" s="147"/>
    </row>
    <row r="841">
      <c r="A841" s="147"/>
      <c r="B841" s="147"/>
      <c r="C841" s="147"/>
    </row>
    <row r="842">
      <c r="A842" s="147"/>
      <c r="B842" s="147"/>
      <c r="C842" s="147"/>
    </row>
    <row r="843">
      <c r="A843" s="147"/>
      <c r="B843" s="147"/>
      <c r="C843" s="147"/>
    </row>
    <row r="844">
      <c r="A844" s="147"/>
      <c r="B844" s="147"/>
      <c r="C844" s="147"/>
    </row>
    <row r="845">
      <c r="A845" s="147"/>
      <c r="B845" s="147"/>
      <c r="C845" s="147"/>
    </row>
    <row r="846">
      <c r="A846" s="147"/>
      <c r="B846" s="147"/>
      <c r="C846" s="147"/>
    </row>
    <row r="847">
      <c r="A847" s="147"/>
      <c r="B847" s="147"/>
      <c r="C847" s="147"/>
    </row>
    <row r="848">
      <c r="A848" s="147"/>
      <c r="B848" s="147"/>
      <c r="C848" s="147"/>
    </row>
    <row r="849">
      <c r="A849" s="147"/>
      <c r="B849" s="147"/>
      <c r="C849" s="147"/>
    </row>
    <row r="850">
      <c r="A850" s="147"/>
      <c r="B850" s="147"/>
      <c r="C850" s="147"/>
    </row>
    <row r="851">
      <c r="A851" s="147"/>
      <c r="B851" s="147"/>
      <c r="C851" s="147"/>
    </row>
    <row r="852">
      <c r="A852" s="147"/>
      <c r="B852" s="147"/>
      <c r="C852" s="147"/>
    </row>
    <row r="853">
      <c r="A853" s="147"/>
      <c r="B853" s="147"/>
      <c r="C853" s="147"/>
    </row>
    <row r="854">
      <c r="A854" s="147"/>
      <c r="B854" s="147"/>
      <c r="C854" s="147"/>
    </row>
    <row r="855">
      <c r="A855" s="147"/>
      <c r="B855" s="147"/>
      <c r="C855" s="147"/>
    </row>
    <row r="856">
      <c r="A856" s="147"/>
      <c r="B856" s="147"/>
      <c r="C856" s="147"/>
    </row>
    <row r="857">
      <c r="A857" s="147"/>
      <c r="B857" s="147"/>
      <c r="C857" s="147"/>
    </row>
    <row r="858">
      <c r="A858" s="147"/>
      <c r="B858" s="147"/>
      <c r="C858" s="147"/>
    </row>
    <row r="859">
      <c r="A859" s="147"/>
      <c r="B859" s="147"/>
      <c r="C859" s="147"/>
    </row>
    <row r="860">
      <c r="A860" s="147"/>
      <c r="B860" s="147"/>
      <c r="C860" s="147"/>
    </row>
    <row r="861">
      <c r="A861" s="147"/>
      <c r="B861" s="147"/>
      <c r="C861" s="147"/>
    </row>
    <row r="862">
      <c r="A862" s="147"/>
      <c r="B862" s="147"/>
      <c r="C862" s="147"/>
    </row>
    <row r="863">
      <c r="A863" s="147"/>
      <c r="B863" s="147"/>
      <c r="C863" s="147"/>
    </row>
    <row r="864">
      <c r="A864" s="147"/>
      <c r="B864" s="147"/>
      <c r="C864" s="147"/>
    </row>
    <row r="865">
      <c r="A865" s="147"/>
      <c r="B865" s="147"/>
      <c r="C865" s="147"/>
    </row>
    <row r="866">
      <c r="A866" s="147"/>
      <c r="B866" s="147"/>
      <c r="C866" s="147"/>
    </row>
    <row r="867">
      <c r="A867" s="147"/>
      <c r="B867" s="147"/>
      <c r="C867" s="147"/>
    </row>
    <row r="868">
      <c r="A868" s="147"/>
      <c r="B868" s="147"/>
      <c r="C868" s="147"/>
    </row>
    <row r="869">
      <c r="A869" s="147"/>
      <c r="B869" s="147"/>
      <c r="C869" s="147"/>
    </row>
    <row r="870">
      <c r="A870" s="147"/>
      <c r="B870" s="147"/>
      <c r="C870" s="147"/>
    </row>
    <row r="871">
      <c r="A871" s="147"/>
      <c r="B871" s="147"/>
      <c r="C871" s="147"/>
    </row>
    <row r="872">
      <c r="A872" s="147"/>
      <c r="B872" s="147"/>
      <c r="C872" s="147"/>
    </row>
    <row r="873">
      <c r="A873" s="147"/>
      <c r="B873" s="147"/>
      <c r="C873" s="147"/>
    </row>
    <row r="874">
      <c r="A874" s="147"/>
      <c r="B874" s="147"/>
      <c r="C874" s="147"/>
    </row>
    <row r="875">
      <c r="A875" s="147"/>
      <c r="B875" s="147"/>
      <c r="C875" s="147"/>
    </row>
    <row r="876">
      <c r="A876" s="147"/>
      <c r="B876" s="147"/>
      <c r="C876" s="147"/>
    </row>
    <row r="877">
      <c r="A877" s="147"/>
      <c r="B877" s="147"/>
      <c r="C877" s="147"/>
    </row>
    <row r="878">
      <c r="A878" s="147"/>
      <c r="B878" s="147"/>
      <c r="C878" s="147"/>
    </row>
    <row r="879">
      <c r="A879" s="147"/>
      <c r="B879" s="147"/>
      <c r="C879" s="147"/>
    </row>
    <row r="880">
      <c r="A880" s="147"/>
      <c r="B880" s="147"/>
      <c r="C880" s="147"/>
    </row>
    <row r="881">
      <c r="A881" s="147"/>
      <c r="B881" s="147"/>
      <c r="C881" s="147"/>
    </row>
    <row r="882">
      <c r="A882" s="147"/>
      <c r="B882" s="147"/>
      <c r="C882" s="147"/>
    </row>
    <row r="883">
      <c r="A883" s="147"/>
      <c r="B883" s="147"/>
      <c r="C883" s="147"/>
    </row>
    <row r="884">
      <c r="A884" s="147"/>
      <c r="B884" s="147"/>
      <c r="C884" s="147"/>
    </row>
    <row r="885">
      <c r="A885" s="147"/>
      <c r="B885" s="147"/>
      <c r="C885" s="147"/>
    </row>
    <row r="886">
      <c r="A886" s="147"/>
      <c r="B886" s="147"/>
      <c r="C886" s="147"/>
    </row>
    <row r="887">
      <c r="A887" s="147"/>
      <c r="B887" s="147"/>
      <c r="C887" s="147"/>
    </row>
    <row r="888">
      <c r="A888" s="147"/>
      <c r="B888" s="147"/>
      <c r="C888" s="147"/>
    </row>
    <row r="889">
      <c r="A889" s="147"/>
      <c r="B889" s="147"/>
      <c r="C889" s="147"/>
    </row>
    <row r="890">
      <c r="A890" s="147"/>
      <c r="B890" s="147"/>
      <c r="C890" s="147"/>
    </row>
    <row r="891">
      <c r="A891" s="147"/>
      <c r="B891" s="147"/>
      <c r="C891" s="147"/>
    </row>
    <row r="892">
      <c r="A892" s="147"/>
      <c r="B892" s="147"/>
      <c r="C892" s="147"/>
    </row>
    <row r="893">
      <c r="A893" s="147"/>
      <c r="B893" s="147"/>
      <c r="C893" s="147"/>
    </row>
    <row r="894">
      <c r="A894" s="147"/>
      <c r="B894" s="147"/>
      <c r="C894" s="147"/>
    </row>
    <row r="895">
      <c r="A895" s="147"/>
      <c r="B895" s="147"/>
      <c r="C895" s="147"/>
    </row>
    <row r="896">
      <c r="A896" s="147"/>
      <c r="B896" s="147"/>
      <c r="C896" s="147"/>
    </row>
    <row r="897">
      <c r="A897" s="147"/>
      <c r="B897" s="147"/>
      <c r="C897" s="147"/>
    </row>
    <row r="898">
      <c r="A898" s="147"/>
      <c r="B898" s="147"/>
      <c r="C898" s="147"/>
    </row>
    <row r="899">
      <c r="A899" s="147"/>
      <c r="B899" s="147"/>
      <c r="C899" s="147"/>
    </row>
    <row r="900">
      <c r="A900" s="147"/>
      <c r="B900" s="147"/>
      <c r="C900" s="147"/>
    </row>
    <row r="901">
      <c r="A901" s="147"/>
      <c r="B901" s="147"/>
      <c r="C901" s="147"/>
    </row>
    <row r="902">
      <c r="A902" s="147"/>
      <c r="B902" s="147"/>
      <c r="C902" s="147"/>
    </row>
    <row r="903">
      <c r="A903" s="147"/>
      <c r="B903" s="147"/>
      <c r="C903" s="147"/>
    </row>
    <row r="904">
      <c r="A904" s="147"/>
      <c r="B904" s="147"/>
      <c r="C904" s="147"/>
    </row>
    <row r="905">
      <c r="A905" s="147"/>
      <c r="B905" s="147"/>
      <c r="C905" s="147"/>
    </row>
    <row r="906">
      <c r="A906" s="147"/>
      <c r="B906" s="147"/>
      <c r="C906" s="147"/>
    </row>
    <row r="907">
      <c r="A907" s="147"/>
      <c r="B907" s="147"/>
      <c r="C907" s="147"/>
    </row>
    <row r="908">
      <c r="A908" s="147"/>
      <c r="B908" s="147"/>
      <c r="C908" s="147"/>
    </row>
    <row r="909">
      <c r="A909" s="147"/>
      <c r="B909" s="147"/>
      <c r="C909" s="147"/>
    </row>
    <row r="910">
      <c r="A910" s="147"/>
      <c r="B910" s="147"/>
      <c r="C910" s="147"/>
    </row>
    <row r="911">
      <c r="A911" s="147"/>
      <c r="B911" s="147"/>
      <c r="C911" s="147"/>
    </row>
    <row r="912">
      <c r="A912" s="147"/>
      <c r="B912" s="147"/>
      <c r="C912" s="147"/>
    </row>
    <row r="913">
      <c r="A913" s="147"/>
      <c r="B913" s="147"/>
      <c r="C913" s="147"/>
    </row>
    <row r="914">
      <c r="A914" s="147"/>
      <c r="B914" s="147"/>
      <c r="C914" s="147"/>
    </row>
    <row r="915">
      <c r="A915" s="147"/>
      <c r="B915" s="147"/>
      <c r="C915" s="147"/>
    </row>
    <row r="916">
      <c r="A916" s="147"/>
      <c r="B916" s="147"/>
      <c r="C916" s="147"/>
    </row>
    <row r="917">
      <c r="A917" s="147"/>
      <c r="B917" s="147"/>
      <c r="C917" s="147"/>
    </row>
    <row r="918">
      <c r="A918" s="147"/>
      <c r="B918" s="147"/>
      <c r="C918" s="147"/>
    </row>
    <row r="919">
      <c r="A919" s="147"/>
      <c r="B919" s="147"/>
      <c r="C919" s="147"/>
    </row>
    <row r="920">
      <c r="A920" s="147"/>
      <c r="B920" s="147"/>
      <c r="C920" s="147"/>
    </row>
    <row r="921">
      <c r="A921" s="147"/>
      <c r="B921" s="147"/>
      <c r="C921" s="147"/>
    </row>
    <row r="922">
      <c r="A922" s="147"/>
      <c r="B922" s="147"/>
      <c r="C922" s="147"/>
    </row>
    <row r="923">
      <c r="A923" s="147"/>
      <c r="B923" s="147"/>
      <c r="C923" s="147"/>
    </row>
    <row r="924">
      <c r="A924" s="147"/>
      <c r="B924" s="147"/>
      <c r="C924" s="147"/>
    </row>
    <row r="925">
      <c r="A925" s="147"/>
      <c r="B925" s="147"/>
      <c r="C925" s="147"/>
    </row>
    <row r="926">
      <c r="A926" s="147"/>
      <c r="B926" s="147"/>
      <c r="C926" s="147"/>
    </row>
    <row r="927">
      <c r="A927" s="147"/>
      <c r="B927" s="147"/>
      <c r="C927" s="147"/>
    </row>
    <row r="928">
      <c r="A928" s="147"/>
      <c r="B928" s="147"/>
      <c r="C928" s="147"/>
    </row>
    <row r="929">
      <c r="A929" s="147"/>
      <c r="B929" s="147"/>
      <c r="C929" s="147"/>
    </row>
    <row r="930">
      <c r="A930" s="147"/>
      <c r="B930" s="147"/>
      <c r="C930" s="147"/>
    </row>
    <row r="931">
      <c r="A931" s="147"/>
      <c r="B931" s="147"/>
      <c r="C931" s="147"/>
    </row>
    <row r="932">
      <c r="A932" s="147"/>
      <c r="B932" s="147"/>
      <c r="C932" s="147"/>
    </row>
    <row r="933">
      <c r="A933" s="147"/>
      <c r="B933" s="147"/>
      <c r="C933" s="147"/>
    </row>
    <row r="934">
      <c r="A934" s="147"/>
      <c r="B934" s="147"/>
      <c r="C934" s="147"/>
    </row>
    <row r="935">
      <c r="A935" s="147"/>
      <c r="B935" s="147"/>
      <c r="C935" s="147"/>
    </row>
    <row r="936">
      <c r="A936" s="147"/>
      <c r="B936" s="147"/>
      <c r="C936" s="147"/>
    </row>
    <row r="937">
      <c r="A937" s="147"/>
      <c r="B937" s="147"/>
      <c r="C937" s="147"/>
    </row>
    <row r="938">
      <c r="A938" s="147"/>
      <c r="B938" s="147"/>
      <c r="C938" s="147"/>
    </row>
    <row r="939">
      <c r="A939" s="147"/>
      <c r="B939" s="147"/>
      <c r="C939" s="147"/>
    </row>
    <row r="940">
      <c r="A940" s="147"/>
      <c r="B940" s="147"/>
      <c r="C940" s="147"/>
    </row>
    <row r="941">
      <c r="A941" s="147"/>
      <c r="B941" s="147"/>
      <c r="C941" s="147"/>
    </row>
    <row r="942">
      <c r="A942" s="147"/>
      <c r="B942" s="147"/>
      <c r="C942" s="147"/>
    </row>
    <row r="943">
      <c r="A943" s="147"/>
      <c r="B943" s="147"/>
      <c r="C943" s="147"/>
    </row>
    <row r="944">
      <c r="A944" s="147"/>
      <c r="B944" s="147"/>
      <c r="C944" s="147"/>
    </row>
    <row r="945">
      <c r="A945" s="147"/>
      <c r="B945" s="147"/>
      <c r="C945" s="147"/>
    </row>
    <row r="946">
      <c r="A946" s="147"/>
      <c r="B946" s="147"/>
      <c r="C946" s="147"/>
    </row>
    <row r="947">
      <c r="A947" s="147"/>
      <c r="B947" s="147"/>
      <c r="C947" s="147"/>
    </row>
    <row r="948">
      <c r="A948" s="147"/>
      <c r="B948" s="147"/>
      <c r="C948" s="147"/>
    </row>
    <row r="949">
      <c r="A949" s="147"/>
      <c r="B949" s="147"/>
      <c r="C949" s="147"/>
    </row>
    <row r="950">
      <c r="A950" s="147"/>
      <c r="B950" s="147"/>
      <c r="C950" s="147"/>
    </row>
    <row r="951">
      <c r="A951" s="147"/>
      <c r="B951" s="147"/>
      <c r="C951" s="147"/>
    </row>
    <row r="952">
      <c r="A952" s="147"/>
      <c r="B952" s="147"/>
      <c r="C952" s="147"/>
    </row>
    <row r="953">
      <c r="A953" s="147"/>
      <c r="B953" s="147"/>
      <c r="C953" s="147"/>
    </row>
    <row r="954">
      <c r="A954" s="147"/>
      <c r="B954" s="147"/>
      <c r="C954" s="147"/>
    </row>
    <row r="955">
      <c r="A955" s="147"/>
      <c r="B955" s="147"/>
      <c r="C955" s="147"/>
    </row>
    <row r="956">
      <c r="A956" s="147"/>
      <c r="B956" s="147"/>
      <c r="C956" s="147"/>
    </row>
    <row r="957">
      <c r="A957" s="147"/>
      <c r="B957" s="147"/>
      <c r="C957" s="147"/>
    </row>
    <row r="958">
      <c r="A958" s="147"/>
      <c r="B958" s="147"/>
      <c r="C958" s="147"/>
    </row>
    <row r="959">
      <c r="A959" s="147"/>
      <c r="B959" s="147"/>
      <c r="C959" s="147"/>
    </row>
    <row r="960">
      <c r="A960" s="147"/>
      <c r="B960" s="147"/>
      <c r="C960" s="147"/>
    </row>
    <row r="961">
      <c r="A961" s="147"/>
      <c r="B961" s="147"/>
      <c r="C961" s="147"/>
    </row>
    <row r="962">
      <c r="A962" s="147"/>
      <c r="B962" s="147"/>
      <c r="C962" s="147"/>
    </row>
    <row r="963">
      <c r="A963" s="147"/>
      <c r="B963" s="147"/>
      <c r="C963" s="147"/>
    </row>
    <row r="964">
      <c r="A964" s="147"/>
      <c r="B964" s="147"/>
      <c r="C964" s="147"/>
    </row>
    <row r="965">
      <c r="A965" s="147"/>
      <c r="B965" s="147"/>
      <c r="C965" s="147"/>
    </row>
    <row r="966">
      <c r="A966" s="147"/>
      <c r="B966" s="147"/>
      <c r="C966" s="147"/>
    </row>
    <row r="967">
      <c r="A967" s="147"/>
      <c r="B967" s="147"/>
      <c r="C967" s="147"/>
    </row>
    <row r="968">
      <c r="A968" s="147"/>
      <c r="B968" s="147"/>
      <c r="C968" s="147"/>
    </row>
    <row r="969">
      <c r="A969" s="147"/>
      <c r="B969" s="147"/>
      <c r="C969" s="147"/>
    </row>
    <row r="970">
      <c r="A970" s="147"/>
      <c r="B970" s="147"/>
      <c r="C970" s="147"/>
    </row>
    <row r="971">
      <c r="A971" s="147"/>
      <c r="B971" s="147"/>
      <c r="C971" s="147"/>
    </row>
    <row r="972">
      <c r="A972" s="147"/>
      <c r="B972" s="147"/>
      <c r="C972" s="147"/>
    </row>
    <row r="973">
      <c r="A973" s="147"/>
      <c r="B973" s="147"/>
      <c r="C973" s="147"/>
    </row>
    <row r="974">
      <c r="A974" s="147"/>
      <c r="B974" s="147"/>
      <c r="C974" s="147"/>
    </row>
    <row r="975">
      <c r="A975" s="147"/>
      <c r="B975" s="147"/>
      <c r="C975" s="147"/>
    </row>
    <row r="976">
      <c r="A976" s="147"/>
      <c r="B976" s="147"/>
      <c r="C976" s="147"/>
    </row>
    <row r="977">
      <c r="A977" s="147"/>
      <c r="B977" s="147"/>
      <c r="C977" s="147"/>
    </row>
    <row r="978">
      <c r="A978" s="147"/>
      <c r="B978" s="147"/>
      <c r="C978" s="147"/>
    </row>
    <row r="979">
      <c r="A979" s="147"/>
      <c r="B979" s="147"/>
      <c r="C979" s="147"/>
    </row>
    <row r="980">
      <c r="A980" s="147"/>
      <c r="B980" s="147"/>
      <c r="C980" s="147"/>
    </row>
    <row r="981">
      <c r="A981" s="147"/>
      <c r="B981" s="147"/>
      <c r="C981" s="147"/>
    </row>
    <row r="982">
      <c r="A982" s="147"/>
      <c r="B982" s="147"/>
      <c r="C982" s="147"/>
    </row>
    <row r="983">
      <c r="A983" s="147"/>
      <c r="B983" s="147"/>
      <c r="C983" s="147"/>
    </row>
    <row r="984">
      <c r="A984" s="147"/>
      <c r="B984" s="147"/>
      <c r="C984" s="147"/>
    </row>
    <row r="985">
      <c r="A985" s="147"/>
      <c r="B985" s="147"/>
      <c r="C985" s="147"/>
    </row>
    <row r="986">
      <c r="A986" s="147"/>
      <c r="B986" s="147"/>
      <c r="C986" s="147"/>
    </row>
    <row r="987">
      <c r="A987" s="147"/>
      <c r="B987" s="147"/>
      <c r="C987" s="147"/>
    </row>
    <row r="988">
      <c r="A988" s="147"/>
      <c r="B988" s="147"/>
      <c r="C988" s="147"/>
    </row>
    <row r="989">
      <c r="A989" s="147"/>
      <c r="B989" s="147"/>
      <c r="C989" s="147"/>
    </row>
    <row r="990">
      <c r="A990" s="147"/>
      <c r="B990" s="147"/>
      <c r="C990" s="147"/>
    </row>
    <row r="991">
      <c r="A991" s="147"/>
      <c r="B991" s="147"/>
      <c r="C991" s="147"/>
    </row>
    <row r="992">
      <c r="A992" s="147"/>
      <c r="B992" s="147"/>
      <c r="C992" s="147"/>
    </row>
    <row r="993">
      <c r="A993" s="147"/>
      <c r="B993" s="147"/>
      <c r="C993" s="147"/>
    </row>
    <row r="994">
      <c r="A994" s="147"/>
      <c r="B994" s="147"/>
      <c r="C994" s="147"/>
    </row>
    <row r="995">
      <c r="A995" s="147"/>
      <c r="B995" s="147"/>
      <c r="C995" s="147"/>
    </row>
    <row r="996">
      <c r="A996" s="147"/>
      <c r="B996" s="147"/>
      <c r="C996" s="147"/>
    </row>
    <row r="997">
      <c r="A997" s="147"/>
      <c r="B997" s="147"/>
      <c r="C997" s="147"/>
    </row>
    <row r="998">
      <c r="A998" s="147"/>
      <c r="B998" s="147"/>
      <c r="C998" s="147"/>
    </row>
    <row r="999">
      <c r="A999" s="147"/>
      <c r="B999" s="147"/>
      <c r="C999" s="147"/>
    </row>
  </sheetData>
  <mergeCells count="235"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98:G198"/>
    <mergeCell ref="F199:G199"/>
    <mergeCell ref="F191:G191"/>
    <mergeCell ref="F192:G192"/>
    <mergeCell ref="F193:G193"/>
    <mergeCell ref="F194:G194"/>
    <mergeCell ref="F195:G195"/>
    <mergeCell ref="F196:G196"/>
    <mergeCell ref="F197:G197"/>
    <mergeCell ref="F207:G207"/>
    <mergeCell ref="F208:G208"/>
    <mergeCell ref="F200:G200"/>
    <mergeCell ref="F201:G201"/>
    <mergeCell ref="F202:G202"/>
    <mergeCell ref="F203:G203"/>
    <mergeCell ref="F204:G204"/>
    <mergeCell ref="F205:G205"/>
    <mergeCell ref="F206:G206"/>
    <mergeCell ref="F216:G216"/>
    <mergeCell ref="F217:G217"/>
    <mergeCell ref="F209:G209"/>
    <mergeCell ref="F210:G210"/>
    <mergeCell ref="F211:G211"/>
    <mergeCell ref="F212:G212"/>
    <mergeCell ref="F213:G213"/>
    <mergeCell ref="F214:G214"/>
    <mergeCell ref="F215:G215"/>
    <mergeCell ref="F225:G225"/>
    <mergeCell ref="F226:G226"/>
    <mergeCell ref="F218:G218"/>
    <mergeCell ref="F219:G219"/>
    <mergeCell ref="F220:G220"/>
    <mergeCell ref="F221:G221"/>
    <mergeCell ref="F222:G222"/>
    <mergeCell ref="F223:G223"/>
    <mergeCell ref="F224:G224"/>
    <mergeCell ref="F234:G234"/>
    <mergeCell ref="F235:G235"/>
    <mergeCell ref="F227:G227"/>
    <mergeCell ref="F228:G228"/>
    <mergeCell ref="F229:G229"/>
    <mergeCell ref="F230:G230"/>
    <mergeCell ref="F231:G231"/>
    <mergeCell ref="F232:G232"/>
    <mergeCell ref="F233:G233"/>
    <mergeCell ref="F243:G243"/>
    <mergeCell ref="F244:G244"/>
    <mergeCell ref="F236:G236"/>
    <mergeCell ref="F237:G237"/>
    <mergeCell ref="F238:G238"/>
    <mergeCell ref="F239:G239"/>
    <mergeCell ref="F240:G240"/>
    <mergeCell ref="F241:G241"/>
    <mergeCell ref="F242:G242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315:G315"/>
    <mergeCell ref="F316:G316"/>
    <mergeCell ref="F308:G308"/>
    <mergeCell ref="F309:G309"/>
    <mergeCell ref="F310:G310"/>
    <mergeCell ref="F311:G311"/>
    <mergeCell ref="F312:G312"/>
    <mergeCell ref="F313:G313"/>
    <mergeCell ref="F314:G314"/>
    <mergeCell ref="F324:G324"/>
    <mergeCell ref="F325:G325"/>
    <mergeCell ref="F317:G317"/>
    <mergeCell ref="F318:G318"/>
    <mergeCell ref="F319:G319"/>
    <mergeCell ref="F320:G320"/>
    <mergeCell ref="F321:G321"/>
    <mergeCell ref="F322:G322"/>
    <mergeCell ref="F323:G323"/>
    <mergeCell ref="F333:G333"/>
    <mergeCell ref="F334:G334"/>
    <mergeCell ref="F326:G326"/>
    <mergeCell ref="F327:G327"/>
    <mergeCell ref="F328:G328"/>
    <mergeCell ref="F329:G329"/>
    <mergeCell ref="F330:G330"/>
    <mergeCell ref="F331:G331"/>
    <mergeCell ref="F332:G332"/>
    <mergeCell ref="F342:G342"/>
    <mergeCell ref="F343:G343"/>
    <mergeCell ref="F335:G335"/>
    <mergeCell ref="F336:G336"/>
    <mergeCell ref="F337:G337"/>
    <mergeCell ref="F338:G338"/>
    <mergeCell ref="F339:G339"/>
    <mergeCell ref="F340:G340"/>
    <mergeCell ref="F341:G341"/>
    <mergeCell ref="A126:A157"/>
    <mergeCell ref="A158:A189"/>
    <mergeCell ref="A190:A221"/>
    <mergeCell ref="A222:A252"/>
    <mergeCell ref="A253:A284"/>
    <mergeCell ref="A285:A316"/>
    <mergeCell ref="A317:A348"/>
    <mergeCell ref="A2:A32"/>
    <mergeCell ref="B32:C32"/>
    <mergeCell ref="A33:A64"/>
    <mergeCell ref="A65:A96"/>
    <mergeCell ref="A97:A125"/>
    <mergeCell ref="F126:G126"/>
    <mergeCell ref="F157:G157"/>
    <mergeCell ref="F155:G155"/>
    <mergeCell ref="F156:G156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344:G344"/>
    <mergeCell ref="F345:G345"/>
    <mergeCell ref="F346:G346"/>
    <mergeCell ref="F347:G347"/>
    <mergeCell ref="F348:G348"/>
    <mergeCell ref="F184:G184"/>
    <mergeCell ref="F185:G185"/>
    <mergeCell ref="F186:G186"/>
    <mergeCell ref="F187:G187"/>
    <mergeCell ref="F188:G188"/>
    <mergeCell ref="F189:G189"/>
    <mergeCell ref="F190:G190"/>
    <mergeCell ref="F252:G252"/>
    <mergeCell ref="F253:G253"/>
    <mergeCell ref="F245:G245"/>
    <mergeCell ref="F246:G246"/>
    <mergeCell ref="F247:G247"/>
    <mergeCell ref="F248:G248"/>
    <mergeCell ref="F249:G249"/>
    <mergeCell ref="F250:G250"/>
    <mergeCell ref="F251:G251"/>
    <mergeCell ref="F261:G261"/>
    <mergeCell ref="F262:G262"/>
    <mergeCell ref="F254:G254"/>
    <mergeCell ref="F255:G255"/>
    <mergeCell ref="F256:G256"/>
    <mergeCell ref="F257:G257"/>
    <mergeCell ref="F258:G258"/>
    <mergeCell ref="F259:G259"/>
    <mergeCell ref="F260:G260"/>
    <mergeCell ref="F270:G270"/>
    <mergeCell ref="F271:G271"/>
    <mergeCell ref="F263:G263"/>
    <mergeCell ref="F264:G264"/>
    <mergeCell ref="F265:G265"/>
    <mergeCell ref="F266:G266"/>
    <mergeCell ref="F267:G267"/>
    <mergeCell ref="F268:G268"/>
    <mergeCell ref="F269:G269"/>
    <mergeCell ref="F279:G279"/>
    <mergeCell ref="F280:G280"/>
    <mergeCell ref="F272:G272"/>
    <mergeCell ref="F273:G273"/>
    <mergeCell ref="F274:G274"/>
    <mergeCell ref="F275:G275"/>
    <mergeCell ref="F276:G276"/>
    <mergeCell ref="F277:G277"/>
    <mergeCell ref="F278:G278"/>
    <mergeCell ref="F288:G288"/>
    <mergeCell ref="F289:G289"/>
    <mergeCell ref="F281:G281"/>
    <mergeCell ref="F282:G282"/>
    <mergeCell ref="F283:G283"/>
    <mergeCell ref="F284:G284"/>
    <mergeCell ref="F285:G285"/>
    <mergeCell ref="F286:G286"/>
    <mergeCell ref="F287:G287"/>
    <mergeCell ref="F297:G297"/>
    <mergeCell ref="F298:G298"/>
    <mergeCell ref="F290:G290"/>
    <mergeCell ref="F291:G291"/>
    <mergeCell ref="F292:G292"/>
    <mergeCell ref="F293:G293"/>
    <mergeCell ref="F294:G294"/>
    <mergeCell ref="F295:G295"/>
    <mergeCell ref="F296:G296"/>
    <mergeCell ref="F306:G306"/>
    <mergeCell ref="F307:G307"/>
    <mergeCell ref="F299:G299"/>
    <mergeCell ref="F300:G300"/>
    <mergeCell ref="F301:G301"/>
    <mergeCell ref="F302:G302"/>
    <mergeCell ref="F303:G303"/>
    <mergeCell ref="F304:G304"/>
    <mergeCell ref="F305:G30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6.75"/>
    <col customWidth="1" hidden="1" min="6" max="7" width="16.75"/>
    <col customWidth="1" min="8" max="10" width="16.75"/>
  </cols>
  <sheetData>
    <row r="1">
      <c r="A1" s="2" t="s">
        <v>0</v>
      </c>
      <c r="B1" s="3" t="s">
        <v>1</v>
      </c>
      <c r="C1" s="5" t="s">
        <v>2</v>
      </c>
      <c r="D1" s="6" t="s">
        <v>3</v>
      </c>
      <c r="E1" s="6" t="s">
        <v>5</v>
      </c>
      <c r="F1" s="6" t="s">
        <v>6</v>
      </c>
      <c r="G1" s="6" t="s">
        <v>8</v>
      </c>
      <c r="H1" s="6" t="s">
        <v>10</v>
      </c>
      <c r="I1" s="6" t="s">
        <v>12</v>
      </c>
      <c r="J1" s="7" t="s">
        <v>14</v>
      </c>
      <c r="K1" s="9" t="s">
        <v>15</v>
      </c>
    </row>
    <row r="2">
      <c r="A2" s="11" t="s">
        <v>24</v>
      </c>
      <c r="B2" s="12">
        <v>45668.0</v>
      </c>
      <c r="C2" s="14" t="s">
        <v>29</v>
      </c>
      <c r="D2" s="15">
        <v>0.0</v>
      </c>
      <c r="E2" s="15">
        <v>0.0</v>
      </c>
      <c r="F2" s="17"/>
      <c r="G2" s="15">
        <v>0.0</v>
      </c>
      <c r="H2" s="15">
        <v>0.0</v>
      </c>
      <c r="I2" s="15"/>
      <c r="J2" s="19">
        <v>0.0</v>
      </c>
      <c r="K2" s="29">
        <f t="shared" ref="K2:K188" si="1">SUM(D2:J2)</f>
        <v>0</v>
      </c>
    </row>
    <row r="3">
      <c r="A3" s="22"/>
      <c r="B3" s="24">
        <v>45699.0</v>
      </c>
      <c r="C3" s="25" t="s">
        <v>31</v>
      </c>
      <c r="D3" s="26">
        <v>0.0</v>
      </c>
      <c r="E3" s="26">
        <v>0.0</v>
      </c>
      <c r="F3" s="32"/>
      <c r="G3" s="26">
        <v>0.0</v>
      </c>
      <c r="H3" s="26">
        <v>0.0</v>
      </c>
      <c r="I3" s="26"/>
      <c r="J3" s="19">
        <v>0.0</v>
      </c>
      <c r="K3" s="29">
        <f t="shared" si="1"/>
        <v>0</v>
      </c>
    </row>
    <row r="4">
      <c r="A4" s="22"/>
      <c r="B4" s="24">
        <v>45727.0</v>
      </c>
      <c r="C4" s="25" t="s">
        <v>32</v>
      </c>
      <c r="D4" s="26">
        <v>0.0</v>
      </c>
      <c r="E4" s="26">
        <v>0.0</v>
      </c>
      <c r="F4" s="32"/>
      <c r="G4" s="26">
        <v>0.0</v>
      </c>
      <c r="H4" s="26">
        <v>0.0</v>
      </c>
      <c r="I4" s="26"/>
      <c r="J4" s="19">
        <v>0.0</v>
      </c>
      <c r="K4" s="29">
        <f t="shared" si="1"/>
        <v>0</v>
      </c>
    </row>
    <row r="5">
      <c r="A5" s="22"/>
      <c r="B5" s="24">
        <v>45758.0</v>
      </c>
      <c r="C5" s="25" t="s">
        <v>34</v>
      </c>
      <c r="D5" s="26">
        <v>0.0</v>
      </c>
      <c r="E5" s="26">
        <v>0.0</v>
      </c>
      <c r="F5" s="32"/>
      <c r="G5" s="26">
        <v>0.0</v>
      </c>
      <c r="H5" s="26">
        <v>0.0</v>
      </c>
      <c r="I5" s="26"/>
      <c r="J5" s="19">
        <v>0.0</v>
      </c>
      <c r="K5" s="29">
        <f t="shared" si="1"/>
        <v>0</v>
      </c>
    </row>
    <row r="6">
      <c r="A6" s="22"/>
      <c r="B6" s="24">
        <v>45788.0</v>
      </c>
      <c r="C6" s="25" t="s">
        <v>35</v>
      </c>
      <c r="D6" s="26">
        <v>0.0</v>
      </c>
      <c r="E6" s="26">
        <v>0.0</v>
      </c>
      <c r="F6" s="32"/>
      <c r="G6" s="26">
        <v>0.0</v>
      </c>
      <c r="H6" s="26">
        <v>0.0</v>
      </c>
      <c r="I6" s="26"/>
      <c r="J6" s="19">
        <v>0.0</v>
      </c>
      <c r="K6" s="29">
        <f t="shared" si="1"/>
        <v>0</v>
      </c>
    </row>
    <row r="7">
      <c r="A7" s="22"/>
      <c r="B7" s="24">
        <v>45819.0</v>
      </c>
      <c r="C7" s="25" t="s">
        <v>36</v>
      </c>
      <c r="D7" s="26">
        <v>0.0</v>
      </c>
      <c r="E7" s="26">
        <v>0.0</v>
      </c>
      <c r="F7" s="32"/>
      <c r="G7" s="26">
        <v>0.0</v>
      </c>
      <c r="H7" s="26">
        <v>0.0</v>
      </c>
      <c r="I7" s="26"/>
      <c r="J7" s="19">
        <v>0.0</v>
      </c>
      <c r="K7" s="29">
        <f t="shared" si="1"/>
        <v>0</v>
      </c>
    </row>
    <row r="8">
      <c r="A8" s="22"/>
      <c r="B8" s="24">
        <v>45849.0</v>
      </c>
      <c r="C8" s="25" t="s">
        <v>30</v>
      </c>
      <c r="D8" s="26">
        <v>0.0</v>
      </c>
      <c r="E8" s="26">
        <v>0.0</v>
      </c>
      <c r="F8" s="32"/>
      <c r="G8" s="26">
        <v>0.0</v>
      </c>
      <c r="H8" s="26">
        <v>0.0</v>
      </c>
      <c r="I8" s="26"/>
      <c r="J8" s="19">
        <v>0.0</v>
      </c>
      <c r="K8" s="29">
        <f t="shared" si="1"/>
        <v>0</v>
      </c>
    </row>
    <row r="9">
      <c r="A9" s="22"/>
      <c r="B9" s="24">
        <v>45880.0</v>
      </c>
      <c r="C9" s="25" t="s">
        <v>29</v>
      </c>
      <c r="D9" s="26">
        <v>0.0</v>
      </c>
      <c r="E9" s="26">
        <v>0.0</v>
      </c>
      <c r="F9" s="32"/>
      <c r="G9" s="26">
        <v>0.0</v>
      </c>
      <c r="H9" s="26">
        <v>0.0</v>
      </c>
      <c r="I9" s="26"/>
      <c r="J9" s="19">
        <v>0.0</v>
      </c>
      <c r="K9" s="29">
        <f t="shared" si="1"/>
        <v>0</v>
      </c>
    </row>
    <row r="10">
      <c r="A10" s="22"/>
      <c r="B10" s="24">
        <v>45911.0</v>
      </c>
      <c r="C10" s="25" t="s">
        <v>31</v>
      </c>
      <c r="D10" s="26">
        <v>0.0</v>
      </c>
      <c r="E10" s="26">
        <v>0.0</v>
      </c>
      <c r="F10" s="32"/>
      <c r="G10" s="26">
        <v>0.0</v>
      </c>
      <c r="H10" s="26">
        <v>0.0</v>
      </c>
      <c r="I10" s="26"/>
      <c r="J10" s="19">
        <v>0.0</v>
      </c>
      <c r="K10" s="29">
        <f t="shared" si="1"/>
        <v>0</v>
      </c>
    </row>
    <row r="11">
      <c r="A11" s="22"/>
      <c r="B11" s="36">
        <v>45941.0</v>
      </c>
      <c r="C11" s="25" t="s">
        <v>32</v>
      </c>
      <c r="D11" s="26">
        <v>0.0</v>
      </c>
      <c r="E11" s="26">
        <v>0.0</v>
      </c>
      <c r="F11" s="32"/>
      <c r="G11" s="26">
        <v>0.0</v>
      </c>
      <c r="H11" s="26">
        <v>0.0</v>
      </c>
      <c r="I11" s="26"/>
      <c r="J11" s="19">
        <v>0.0</v>
      </c>
      <c r="K11" s="29">
        <f t="shared" si="1"/>
        <v>0</v>
      </c>
    </row>
    <row r="12">
      <c r="A12" s="22"/>
      <c r="B12" s="36">
        <v>45972.0</v>
      </c>
      <c r="C12" s="25" t="s">
        <v>34</v>
      </c>
      <c r="D12" s="26">
        <v>0.0</v>
      </c>
      <c r="E12" s="26">
        <v>0.0</v>
      </c>
      <c r="F12" s="32"/>
      <c r="G12" s="26">
        <v>0.0</v>
      </c>
      <c r="H12" s="26">
        <v>0.0</v>
      </c>
      <c r="I12" s="26"/>
      <c r="J12" s="19">
        <v>0.0</v>
      </c>
      <c r="K12" s="29">
        <f t="shared" si="1"/>
        <v>0</v>
      </c>
    </row>
    <row r="13">
      <c r="A13" s="22"/>
      <c r="B13" s="36">
        <v>46002.0</v>
      </c>
      <c r="C13" s="25" t="s">
        <v>35</v>
      </c>
      <c r="D13" s="26">
        <v>0.0</v>
      </c>
      <c r="E13" s="26">
        <v>0.0</v>
      </c>
      <c r="F13" s="32"/>
      <c r="G13" s="26">
        <v>0.0</v>
      </c>
      <c r="H13" s="26">
        <v>0.0</v>
      </c>
      <c r="I13" s="26"/>
      <c r="J13" s="19">
        <v>0.0</v>
      </c>
      <c r="K13" s="29">
        <f t="shared" si="1"/>
        <v>0</v>
      </c>
    </row>
    <row r="14">
      <c r="A14" s="22"/>
      <c r="B14" s="25" t="s">
        <v>38</v>
      </c>
      <c r="C14" s="25" t="s">
        <v>36</v>
      </c>
      <c r="D14" s="26">
        <v>0.0</v>
      </c>
      <c r="E14" s="26">
        <v>0.0</v>
      </c>
      <c r="F14" s="32"/>
      <c r="G14" s="26">
        <v>0.0</v>
      </c>
      <c r="H14" s="26">
        <v>0.0</v>
      </c>
      <c r="I14" s="26"/>
      <c r="J14" s="19">
        <v>0.0</v>
      </c>
      <c r="K14" s="29">
        <f t="shared" si="1"/>
        <v>0</v>
      </c>
    </row>
    <row r="15">
      <c r="A15" s="22"/>
      <c r="B15" s="25" t="s">
        <v>39</v>
      </c>
      <c r="C15" s="25" t="s">
        <v>30</v>
      </c>
      <c r="D15" s="26">
        <v>0.0</v>
      </c>
      <c r="E15" s="26">
        <v>0.0</v>
      </c>
      <c r="F15" s="32"/>
      <c r="G15" s="26">
        <v>0.0</v>
      </c>
      <c r="H15" s="26">
        <v>0.0</v>
      </c>
      <c r="I15" s="26"/>
      <c r="J15" s="19">
        <v>0.0</v>
      </c>
      <c r="K15" s="29">
        <f t="shared" si="1"/>
        <v>0</v>
      </c>
    </row>
    <row r="16">
      <c r="A16" s="22"/>
      <c r="B16" s="25" t="s">
        <v>40</v>
      </c>
      <c r="C16" s="25" t="s">
        <v>29</v>
      </c>
      <c r="D16" s="26">
        <v>0.0</v>
      </c>
      <c r="E16" s="26">
        <v>0.0</v>
      </c>
      <c r="F16" s="32"/>
      <c r="G16" s="26">
        <v>0.0</v>
      </c>
      <c r="H16" s="26">
        <v>0.0</v>
      </c>
      <c r="I16" s="26"/>
      <c r="J16" s="19">
        <v>0.0</v>
      </c>
      <c r="K16" s="29">
        <f t="shared" si="1"/>
        <v>0</v>
      </c>
    </row>
    <row r="17">
      <c r="A17" s="22"/>
      <c r="B17" s="25" t="s">
        <v>41</v>
      </c>
      <c r="C17" s="25" t="s">
        <v>31</v>
      </c>
      <c r="D17" s="26">
        <v>0.0</v>
      </c>
      <c r="E17" s="26">
        <v>0.0</v>
      </c>
      <c r="F17" s="32"/>
      <c r="G17" s="26">
        <v>0.0</v>
      </c>
      <c r="H17" s="26">
        <v>0.0</v>
      </c>
      <c r="I17" s="26"/>
      <c r="J17" s="19">
        <v>0.0</v>
      </c>
      <c r="K17" s="29">
        <f t="shared" si="1"/>
        <v>0</v>
      </c>
    </row>
    <row r="18">
      <c r="A18" s="22"/>
      <c r="B18" s="25" t="s">
        <v>42</v>
      </c>
      <c r="C18" s="25" t="s">
        <v>32</v>
      </c>
      <c r="D18" s="26">
        <v>0.0</v>
      </c>
      <c r="E18" s="26">
        <v>0.0</v>
      </c>
      <c r="F18" s="32"/>
      <c r="G18" s="26">
        <v>0.0</v>
      </c>
      <c r="H18" s="26">
        <v>0.0</v>
      </c>
      <c r="I18" s="26"/>
      <c r="J18" s="19">
        <v>0.0</v>
      </c>
      <c r="K18" s="29">
        <f t="shared" si="1"/>
        <v>0</v>
      </c>
    </row>
    <row r="19">
      <c r="A19" s="22"/>
      <c r="B19" s="25" t="s">
        <v>43</v>
      </c>
      <c r="C19" s="25" t="s">
        <v>34</v>
      </c>
      <c r="D19" s="26">
        <v>0.0</v>
      </c>
      <c r="E19" s="26">
        <v>0.0</v>
      </c>
      <c r="F19" s="32"/>
      <c r="G19" s="26">
        <v>0.0</v>
      </c>
      <c r="H19" s="26">
        <v>0.0</v>
      </c>
      <c r="I19" s="26"/>
      <c r="J19" s="19">
        <v>0.0</v>
      </c>
      <c r="K19" s="29">
        <f t="shared" si="1"/>
        <v>0</v>
      </c>
    </row>
    <row r="20">
      <c r="A20" s="22"/>
      <c r="B20" s="25" t="s">
        <v>44</v>
      </c>
      <c r="C20" s="25" t="s">
        <v>35</v>
      </c>
      <c r="D20" s="26">
        <v>0.0</v>
      </c>
      <c r="E20" s="26">
        <v>0.0</v>
      </c>
      <c r="F20" s="32"/>
      <c r="G20" s="26">
        <v>0.0</v>
      </c>
      <c r="H20" s="26">
        <v>0.0</v>
      </c>
      <c r="I20" s="26"/>
      <c r="J20" s="19">
        <v>0.0</v>
      </c>
      <c r="K20" s="29">
        <f t="shared" si="1"/>
        <v>0</v>
      </c>
    </row>
    <row r="21">
      <c r="A21" s="22"/>
      <c r="B21" s="25" t="s">
        <v>46</v>
      </c>
      <c r="C21" s="25" t="s">
        <v>36</v>
      </c>
      <c r="D21" s="26">
        <v>0.0</v>
      </c>
      <c r="E21" s="42">
        <v>7790.0</v>
      </c>
      <c r="F21" s="44"/>
      <c r="G21" s="26">
        <v>0.0</v>
      </c>
      <c r="H21" s="26">
        <v>0.0</v>
      </c>
      <c r="I21" s="26"/>
      <c r="J21" s="19">
        <v>0.0</v>
      </c>
      <c r="K21" s="29">
        <f t="shared" si="1"/>
        <v>7790</v>
      </c>
    </row>
    <row r="22">
      <c r="A22" s="22"/>
      <c r="B22" s="25" t="s">
        <v>48</v>
      </c>
      <c r="C22" s="25" t="s">
        <v>30</v>
      </c>
      <c r="D22" s="26">
        <v>0.0</v>
      </c>
      <c r="E22" s="42">
        <v>20195.0</v>
      </c>
      <c r="F22" s="44"/>
      <c r="G22" s="26">
        <v>0.0</v>
      </c>
      <c r="H22" s="26">
        <v>0.0</v>
      </c>
      <c r="I22" s="26"/>
      <c r="J22" s="19">
        <v>0.0</v>
      </c>
      <c r="K22" s="29">
        <f t="shared" si="1"/>
        <v>20195</v>
      </c>
    </row>
    <row r="23">
      <c r="A23" s="22"/>
      <c r="B23" s="25" t="s">
        <v>50</v>
      </c>
      <c r="C23" s="25" t="s">
        <v>29</v>
      </c>
      <c r="D23" s="26">
        <v>0.0</v>
      </c>
      <c r="E23" s="42">
        <v>37260.0</v>
      </c>
      <c r="F23" s="44"/>
      <c r="G23" s="26">
        <v>0.0</v>
      </c>
      <c r="H23" s="26">
        <v>0.0</v>
      </c>
      <c r="I23" s="26"/>
      <c r="J23" s="19">
        <v>0.0</v>
      </c>
      <c r="K23" s="29">
        <f t="shared" si="1"/>
        <v>37260</v>
      </c>
    </row>
    <row r="24">
      <c r="A24" s="22"/>
      <c r="B24" s="25" t="s">
        <v>52</v>
      </c>
      <c r="C24" s="25" t="s">
        <v>31</v>
      </c>
      <c r="D24" s="26">
        <v>0.0</v>
      </c>
      <c r="E24" s="42">
        <v>41565.0</v>
      </c>
      <c r="F24" s="44"/>
      <c r="G24" s="26">
        <v>0.0</v>
      </c>
      <c r="H24" s="26">
        <v>0.0</v>
      </c>
      <c r="I24" s="26"/>
      <c r="J24" s="19">
        <v>0.0</v>
      </c>
      <c r="K24" s="29">
        <f t="shared" si="1"/>
        <v>41565</v>
      </c>
    </row>
    <row r="25">
      <c r="A25" s="22"/>
      <c r="B25" s="25" t="s">
        <v>53</v>
      </c>
      <c r="C25" s="25" t="s">
        <v>32</v>
      </c>
      <c r="D25" s="26">
        <v>0.0</v>
      </c>
      <c r="E25" s="42">
        <v>26709.0</v>
      </c>
      <c r="F25" s="44"/>
      <c r="G25" s="26">
        <v>0.0</v>
      </c>
      <c r="H25" s="26">
        <v>0.0</v>
      </c>
      <c r="I25" s="26"/>
      <c r="J25" s="19">
        <v>0.0</v>
      </c>
      <c r="K25" s="29">
        <f t="shared" si="1"/>
        <v>26709</v>
      </c>
    </row>
    <row r="26">
      <c r="A26" s="22"/>
      <c r="B26" s="25" t="s">
        <v>55</v>
      </c>
      <c r="C26" s="25" t="s">
        <v>34</v>
      </c>
      <c r="D26" s="26">
        <v>0.0</v>
      </c>
      <c r="E26" s="42">
        <v>29483.0</v>
      </c>
      <c r="F26" s="44"/>
      <c r="G26" s="26">
        <v>0.0</v>
      </c>
      <c r="H26" s="26">
        <v>0.0</v>
      </c>
      <c r="I26" s="26"/>
      <c r="J26" s="19">
        <v>0.0</v>
      </c>
      <c r="K26" s="29">
        <f t="shared" si="1"/>
        <v>29483</v>
      </c>
    </row>
    <row r="27">
      <c r="A27" s="22"/>
      <c r="B27" s="25" t="s">
        <v>56</v>
      </c>
      <c r="C27" s="25" t="s">
        <v>35</v>
      </c>
      <c r="D27" s="26">
        <v>0.0</v>
      </c>
      <c r="E27" s="42">
        <v>27703.0</v>
      </c>
      <c r="F27" s="44"/>
      <c r="G27" s="26">
        <v>0.0</v>
      </c>
      <c r="H27" s="26">
        <v>0.0</v>
      </c>
      <c r="I27" s="26"/>
      <c r="J27" s="19">
        <v>0.0</v>
      </c>
      <c r="K27" s="29">
        <f t="shared" si="1"/>
        <v>27703</v>
      </c>
    </row>
    <row r="28">
      <c r="A28" s="22"/>
      <c r="B28" s="25" t="s">
        <v>58</v>
      </c>
      <c r="C28" s="25" t="s">
        <v>36</v>
      </c>
      <c r="D28" s="26">
        <v>0.0</v>
      </c>
      <c r="E28" s="42">
        <v>28063.0</v>
      </c>
      <c r="F28" s="44"/>
      <c r="G28" s="26">
        <v>0.0</v>
      </c>
      <c r="H28" s="26">
        <v>0.0</v>
      </c>
      <c r="I28" s="26"/>
      <c r="J28" s="19">
        <v>0.0</v>
      </c>
      <c r="K28" s="29">
        <f t="shared" si="1"/>
        <v>28063</v>
      </c>
    </row>
    <row r="29">
      <c r="A29" s="22"/>
      <c r="B29" s="25" t="s">
        <v>60</v>
      </c>
      <c r="C29" s="25" t="s">
        <v>30</v>
      </c>
      <c r="D29" s="26">
        <v>0.0</v>
      </c>
      <c r="E29" s="42">
        <v>34183.0</v>
      </c>
      <c r="F29" s="44"/>
      <c r="G29" s="26">
        <v>0.0</v>
      </c>
      <c r="H29" s="26">
        <v>0.0</v>
      </c>
      <c r="I29" s="26"/>
      <c r="J29" s="19">
        <v>0.0</v>
      </c>
      <c r="K29" s="29">
        <f t="shared" si="1"/>
        <v>34183</v>
      </c>
    </row>
    <row r="30">
      <c r="A30" s="22"/>
      <c r="B30" s="25" t="s">
        <v>62</v>
      </c>
      <c r="C30" s="25" t="s">
        <v>29</v>
      </c>
      <c r="D30" s="26">
        <v>0.0</v>
      </c>
      <c r="E30" s="42">
        <v>52997.0</v>
      </c>
      <c r="F30" s="44"/>
      <c r="G30" s="26">
        <v>0.0</v>
      </c>
      <c r="H30" s="26">
        <v>0.0</v>
      </c>
      <c r="I30" s="26"/>
      <c r="J30" s="19">
        <v>0.0</v>
      </c>
      <c r="K30" s="29">
        <f t="shared" si="1"/>
        <v>52997</v>
      </c>
    </row>
    <row r="31">
      <c r="A31" s="22"/>
      <c r="B31" s="25" t="s">
        <v>71</v>
      </c>
      <c r="C31" s="25" t="s">
        <v>31</v>
      </c>
      <c r="D31" s="26">
        <v>0.0</v>
      </c>
      <c r="E31" s="42">
        <v>49315.0</v>
      </c>
      <c r="F31" s="44"/>
      <c r="G31" s="26">
        <v>0.0</v>
      </c>
      <c r="H31" s="26">
        <v>0.0</v>
      </c>
      <c r="I31" s="26"/>
      <c r="J31" s="19">
        <v>0.0</v>
      </c>
      <c r="K31" s="29">
        <f t="shared" si="1"/>
        <v>49315</v>
      </c>
    </row>
    <row r="32">
      <c r="A32" s="49"/>
      <c r="B32" s="52" t="s">
        <v>75</v>
      </c>
      <c r="C32" s="53"/>
      <c r="D32" s="54">
        <v>0.0</v>
      </c>
      <c r="E32" s="54">
        <v>355263.0</v>
      </c>
      <c r="F32" s="56"/>
      <c r="G32" s="54">
        <v>0.0</v>
      </c>
      <c r="H32" s="54">
        <v>0.0</v>
      </c>
      <c r="I32" s="57"/>
      <c r="J32" s="19">
        <v>0.0</v>
      </c>
      <c r="K32" s="29">
        <f t="shared" si="1"/>
        <v>355263</v>
      </c>
    </row>
    <row r="33">
      <c r="A33" s="60" t="s">
        <v>82</v>
      </c>
      <c r="B33" s="24">
        <v>45669.0</v>
      </c>
      <c r="C33" s="25" t="s">
        <v>32</v>
      </c>
      <c r="D33" s="26">
        <v>0.0</v>
      </c>
      <c r="E33" s="42">
        <v>25016.0</v>
      </c>
      <c r="F33" s="44"/>
      <c r="G33" s="26">
        <v>0.0</v>
      </c>
      <c r="H33" s="26">
        <v>0.0</v>
      </c>
      <c r="I33" s="26"/>
      <c r="J33" s="19">
        <v>0.0</v>
      </c>
      <c r="K33" s="29">
        <f t="shared" si="1"/>
        <v>25016</v>
      </c>
    </row>
    <row r="34">
      <c r="A34" s="22"/>
      <c r="B34" s="24">
        <v>45700.0</v>
      </c>
      <c r="C34" s="25" t="s">
        <v>34</v>
      </c>
      <c r="D34" s="26">
        <v>0.0</v>
      </c>
      <c r="E34" s="42">
        <v>25535.0</v>
      </c>
      <c r="F34" s="44"/>
      <c r="G34" s="26">
        <v>0.0</v>
      </c>
      <c r="H34" s="26">
        <v>0.0</v>
      </c>
      <c r="I34" s="26"/>
      <c r="J34" s="19">
        <v>0.0</v>
      </c>
      <c r="K34" s="29">
        <f t="shared" si="1"/>
        <v>25535</v>
      </c>
    </row>
    <row r="35">
      <c r="A35" s="22"/>
      <c r="B35" s="24">
        <v>45728.0</v>
      </c>
      <c r="C35" s="25" t="s">
        <v>35</v>
      </c>
      <c r="D35" s="26">
        <v>0.0</v>
      </c>
      <c r="E35" s="42">
        <v>27709.0</v>
      </c>
      <c r="F35" s="44"/>
      <c r="G35" s="26">
        <v>0.0</v>
      </c>
      <c r="H35" s="26">
        <v>0.0</v>
      </c>
      <c r="I35" s="26"/>
      <c r="J35" s="19">
        <v>0.0</v>
      </c>
      <c r="K35" s="29">
        <f t="shared" si="1"/>
        <v>27709</v>
      </c>
    </row>
    <row r="36">
      <c r="A36" s="22"/>
      <c r="B36" s="24">
        <v>45759.0</v>
      </c>
      <c r="C36" s="25" t="s">
        <v>36</v>
      </c>
      <c r="D36" s="26">
        <v>0.0</v>
      </c>
      <c r="E36" s="42">
        <v>17114.0</v>
      </c>
      <c r="F36" s="44"/>
      <c r="G36" s="26">
        <v>0.0</v>
      </c>
      <c r="H36" s="26">
        <v>0.0</v>
      </c>
      <c r="I36" s="26"/>
      <c r="J36" s="19">
        <v>0.0</v>
      </c>
      <c r="K36" s="29">
        <f t="shared" si="1"/>
        <v>17114</v>
      </c>
    </row>
    <row r="37">
      <c r="A37" s="22"/>
      <c r="B37" s="24">
        <v>45789.0</v>
      </c>
      <c r="C37" s="25" t="s">
        <v>30</v>
      </c>
      <c r="D37" s="26">
        <v>0.0</v>
      </c>
      <c r="E37" s="42">
        <v>25411.0</v>
      </c>
      <c r="F37" s="44"/>
      <c r="G37" s="26">
        <v>0.0</v>
      </c>
      <c r="H37" s="26">
        <v>0.0</v>
      </c>
      <c r="I37" s="26"/>
      <c r="J37" s="19">
        <v>0.0</v>
      </c>
      <c r="K37" s="29">
        <f t="shared" si="1"/>
        <v>25411</v>
      </c>
    </row>
    <row r="38">
      <c r="A38" s="22"/>
      <c r="B38" s="24">
        <v>45820.0</v>
      </c>
      <c r="C38" s="25" t="s">
        <v>29</v>
      </c>
      <c r="D38" s="26">
        <v>0.0</v>
      </c>
      <c r="E38" s="42">
        <v>53547.0</v>
      </c>
      <c r="F38" s="44"/>
      <c r="G38" s="26">
        <v>0.0</v>
      </c>
      <c r="H38" s="42">
        <v>15246.0</v>
      </c>
      <c r="I38" s="26"/>
      <c r="J38" s="19">
        <v>0.0</v>
      </c>
      <c r="K38" s="29">
        <f t="shared" si="1"/>
        <v>68793</v>
      </c>
    </row>
    <row r="39">
      <c r="A39" s="22"/>
      <c r="B39" s="24">
        <v>45850.0</v>
      </c>
      <c r="C39" s="25" t="s">
        <v>31</v>
      </c>
      <c r="D39" s="26">
        <v>0.0</v>
      </c>
      <c r="E39" s="42">
        <v>61503.0</v>
      </c>
      <c r="F39" s="44"/>
      <c r="G39" s="26">
        <v>0.0</v>
      </c>
      <c r="H39" s="42">
        <v>27917.0</v>
      </c>
      <c r="I39" s="26"/>
      <c r="J39" s="19">
        <v>0.0</v>
      </c>
      <c r="K39" s="29">
        <f t="shared" si="1"/>
        <v>89420</v>
      </c>
    </row>
    <row r="40">
      <c r="A40" s="22"/>
      <c r="B40" s="24">
        <v>45881.0</v>
      </c>
      <c r="C40" s="25" t="s">
        <v>32</v>
      </c>
      <c r="D40" s="26">
        <v>0.0</v>
      </c>
      <c r="E40" s="42">
        <v>17281.0</v>
      </c>
      <c r="F40" s="44"/>
      <c r="G40" s="26">
        <v>0.0</v>
      </c>
      <c r="H40" s="42">
        <v>6928.0</v>
      </c>
      <c r="I40" s="26"/>
      <c r="J40" s="19">
        <v>0.0</v>
      </c>
      <c r="K40" s="29">
        <f t="shared" si="1"/>
        <v>24209</v>
      </c>
    </row>
    <row r="41">
      <c r="A41" s="22"/>
      <c r="B41" s="24">
        <v>45912.0</v>
      </c>
      <c r="C41" s="25" t="s">
        <v>34</v>
      </c>
      <c r="D41" s="26">
        <v>0.0</v>
      </c>
      <c r="E41" s="42">
        <v>26100.0</v>
      </c>
      <c r="F41" s="44"/>
      <c r="G41" s="26">
        <v>0.0</v>
      </c>
      <c r="H41" s="42">
        <v>10823.0</v>
      </c>
      <c r="I41" s="26"/>
      <c r="J41" s="19">
        <v>0.0</v>
      </c>
      <c r="K41" s="29">
        <f t="shared" si="1"/>
        <v>36923</v>
      </c>
    </row>
    <row r="42">
      <c r="A42" s="22"/>
      <c r="B42" s="36">
        <v>45942.0</v>
      </c>
      <c r="C42" s="25" t="s">
        <v>35</v>
      </c>
      <c r="D42" s="26">
        <v>0.0</v>
      </c>
      <c r="E42" s="42">
        <v>25929.0</v>
      </c>
      <c r="F42" s="44"/>
      <c r="G42" s="26">
        <v>0.0</v>
      </c>
      <c r="H42" s="42">
        <v>9382.0</v>
      </c>
      <c r="I42" s="26"/>
      <c r="J42" s="19">
        <v>0.0</v>
      </c>
      <c r="K42" s="29">
        <f t="shared" si="1"/>
        <v>35311</v>
      </c>
    </row>
    <row r="43">
      <c r="A43" s="22"/>
      <c r="B43" s="36">
        <v>45973.0</v>
      </c>
      <c r="C43" s="25" t="s">
        <v>36</v>
      </c>
      <c r="D43" s="26">
        <v>0.0</v>
      </c>
      <c r="E43" s="42">
        <v>19832.0</v>
      </c>
      <c r="F43" s="44"/>
      <c r="G43" s="26">
        <v>0.0</v>
      </c>
      <c r="H43" s="42">
        <v>9608.0</v>
      </c>
      <c r="I43" s="26"/>
      <c r="J43" s="19">
        <v>0.0</v>
      </c>
      <c r="K43" s="29">
        <f t="shared" si="1"/>
        <v>29440</v>
      </c>
    </row>
    <row r="44">
      <c r="A44" s="22"/>
      <c r="B44" s="36">
        <v>46003.0</v>
      </c>
      <c r="C44" s="25" t="s">
        <v>30</v>
      </c>
      <c r="D44" s="26">
        <v>0.0</v>
      </c>
      <c r="E44" s="42">
        <v>41992.0</v>
      </c>
      <c r="F44" s="44"/>
      <c r="G44" s="26">
        <v>0.0</v>
      </c>
      <c r="H44" s="42">
        <v>12164.0</v>
      </c>
      <c r="I44" s="26"/>
      <c r="J44" s="19">
        <v>0.0</v>
      </c>
      <c r="K44" s="29">
        <f t="shared" si="1"/>
        <v>54156</v>
      </c>
    </row>
    <row r="45">
      <c r="A45" s="22"/>
      <c r="B45" s="25" t="s">
        <v>97</v>
      </c>
      <c r="C45" s="25" t="s">
        <v>29</v>
      </c>
      <c r="D45" s="26">
        <v>0.0</v>
      </c>
      <c r="E45" s="42">
        <v>52179.0</v>
      </c>
      <c r="F45" s="44"/>
      <c r="G45" s="26">
        <v>0.0</v>
      </c>
      <c r="H45" s="42">
        <v>30001.0</v>
      </c>
      <c r="I45" s="26"/>
      <c r="J45" s="19">
        <v>0.0</v>
      </c>
      <c r="K45" s="29">
        <f t="shared" si="1"/>
        <v>82180</v>
      </c>
    </row>
    <row r="46">
      <c r="A46" s="22"/>
      <c r="B46" s="25" t="s">
        <v>98</v>
      </c>
      <c r="C46" s="25" t="s">
        <v>31</v>
      </c>
      <c r="D46" s="26">
        <v>0.0</v>
      </c>
      <c r="E46" s="42">
        <v>58188.0</v>
      </c>
      <c r="F46" s="44"/>
      <c r="G46" s="42">
        <v>3861.0</v>
      </c>
      <c r="H46" s="42">
        <v>33917.0</v>
      </c>
      <c r="I46" s="26"/>
      <c r="J46" s="19">
        <v>0.0</v>
      </c>
      <c r="K46" s="29">
        <f t="shared" si="1"/>
        <v>95966</v>
      </c>
    </row>
    <row r="47">
      <c r="A47" s="22"/>
      <c r="B47" s="25" t="s">
        <v>100</v>
      </c>
      <c r="C47" s="25" t="s">
        <v>32</v>
      </c>
      <c r="D47" s="26">
        <v>0.0</v>
      </c>
      <c r="E47" s="42">
        <v>24407.0</v>
      </c>
      <c r="F47" s="44"/>
      <c r="G47" s="42">
        <v>1300.0</v>
      </c>
      <c r="H47" s="42">
        <v>7755.0</v>
      </c>
      <c r="I47" s="26"/>
      <c r="J47" s="19">
        <v>0.0</v>
      </c>
      <c r="K47" s="29">
        <f t="shared" si="1"/>
        <v>33462</v>
      </c>
    </row>
    <row r="48">
      <c r="A48" s="22"/>
      <c r="B48" s="25" t="s">
        <v>101</v>
      </c>
      <c r="C48" s="25" t="s">
        <v>34</v>
      </c>
      <c r="D48" s="26">
        <v>0.0</v>
      </c>
      <c r="E48" s="42">
        <v>23510.0</v>
      </c>
      <c r="F48" s="44"/>
      <c r="G48" s="42">
        <v>2511.0</v>
      </c>
      <c r="H48" s="42">
        <v>10891.0</v>
      </c>
      <c r="I48" s="26"/>
      <c r="J48" s="19">
        <v>0.0</v>
      </c>
      <c r="K48" s="29">
        <f t="shared" si="1"/>
        <v>36912</v>
      </c>
    </row>
    <row r="49">
      <c r="A49" s="22"/>
      <c r="B49" s="25" t="s">
        <v>102</v>
      </c>
      <c r="C49" s="25" t="s">
        <v>35</v>
      </c>
      <c r="D49" s="26">
        <v>0.0</v>
      </c>
      <c r="E49" s="42">
        <v>26867.0</v>
      </c>
      <c r="F49" s="44"/>
      <c r="G49" s="42">
        <v>2331.0</v>
      </c>
      <c r="H49" s="42">
        <v>15452.0</v>
      </c>
      <c r="I49" s="26"/>
      <c r="J49" s="19">
        <v>0.0</v>
      </c>
      <c r="K49" s="29">
        <f t="shared" si="1"/>
        <v>44650</v>
      </c>
    </row>
    <row r="50">
      <c r="A50" s="22"/>
      <c r="B50" s="25" t="s">
        <v>103</v>
      </c>
      <c r="C50" s="25" t="s">
        <v>36</v>
      </c>
      <c r="D50" s="26">
        <v>0.0</v>
      </c>
      <c r="E50" s="42">
        <v>28462.0</v>
      </c>
      <c r="F50" s="44"/>
      <c r="G50" s="42">
        <v>4794.0</v>
      </c>
      <c r="H50" s="42">
        <v>13784.0</v>
      </c>
      <c r="I50" s="26"/>
      <c r="J50" s="19">
        <v>0.0</v>
      </c>
      <c r="K50" s="29">
        <f t="shared" si="1"/>
        <v>47040</v>
      </c>
    </row>
    <row r="51">
      <c r="A51" s="22"/>
      <c r="B51" s="25" t="s">
        <v>104</v>
      </c>
      <c r="C51" s="25" t="s">
        <v>30</v>
      </c>
      <c r="D51" s="26">
        <v>0.0</v>
      </c>
      <c r="E51" s="42">
        <v>34323.0</v>
      </c>
      <c r="F51" s="44"/>
      <c r="G51" s="42">
        <v>3803.0</v>
      </c>
      <c r="H51" s="42">
        <v>14551.0</v>
      </c>
      <c r="I51" s="26"/>
      <c r="J51" s="19">
        <v>0.0</v>
      </c>
      <c r="K51" s="29">
        <f t="shared" si="1"/>
        <v>52677</v>
      </c>
    </row>
    <row r="52">
      <c r="A52" s="22"/>
      <c r="B52" s="25" t="s">
        <v>105</v>
      </c>
      <c r="C52" s="25" t="s">
        <v>29</v>
      </c>
      <c r="D52" s="26">
        <v>0.0</v>
      </c>
      <c r="E52" s="42">
        <v>64543.0</v>
      </c>
      <c r="F52" s="44"/>
      <c r="G52" s="42">
        <v>9587.0</v>
      </c>
      <c r="H52" s="42">
        <v>35809.0</v>
      </c>
      <c r="I52" s="26"/>
      <c r="J52" s="19">
        <v>0.0</v>
      </c>
      <c r="K52" s="29">
        <f t="shared" si="1"/>
        <v>109939</v>
      </c>
    </row>
    <row r="53">
      <c r="A53" s="22"/>
      <c r="B53" s="25" t="s">
        <v>106</v>
      </c>
      <c r="C53" s="25" t="s">
        <v>31</v>
      </c>
      <c r="D53" s="42">
        <v>32696.0</v>
      </c>
      <c r="E53" s="42">
        <v>65615.0</v>
      </c>
      <c r="F53" s="44"/>
      <c r="G53" s="42">
        <v>10919.0</v>
      </c>
      <c r="H53" s="42">
        <v>37302.0</v>
      </c>
      <c r="I53" s="26"/>
      <c r="J53" s="19">
        <v>0.0</v>
      </c>
      <c r="K53" s="29">
        <f t="shared" si="1"/>
        <v>146532</v>
      </c>
    </row>
    <row r="54">
      <c r="A54" s="22"/>
      <c r="B54" s="25" t="s">
        <v>108</v>
      </c>
      <c r="C54" s="25" t="s">
        <v>32</v>
      </c>
      <c r="D54" s="42">
        <v>19624.0</v>
      </c>
      <c r="E54" s="42">
        <v>25082.0</v>
      </c>
      <c r="F54" s="44"/>
      <c r="G54" s="42">
        <v>4495.0</v>
      </c>
      <c r="H54" s="42">
        <v>13402.0</v>
      </c>
      <c r="I54" s="26"/>
      <c r="J54" s="19">
        <v>0.0</v>
      </c>
      <c r="K54" s="29">
        <f t="shared" si="1"/>
        <v>62603</v>
      </c>
    </row>
    <row r="55">
      <c r="A55" s="22"/>
      <c r="B55" s="25" t="s">
        <v>109</v>
      </c>
      <c r="C55" s="25" t="s">
        <v>34</v>
      </c>
      <c r="D55" s="42">
        <v>17702.0</v>
      </c>
      <c r="E55" s="42">
        <v>34817.0</v>
      </c>
      <c r="F55" s="44"/>
      <c r="G55" s="42">
        <v>4555.0</v>
      </c>
      <c r="H55" s="42">
        <v>15845.0</v>
      </c>
      <c r="I55" s="26"/>
      <c r="J55" s="19">
        <v>0.0</v>
      </c>
      <c r="K55" s="29">
        <f t="shared" si="1"/>
        <v>72919</v>
      </c>
    </row>
    <row r="56">
      <c r="A56" s="22"/>
      <c r="B56" s="25" t="s">
        <v>110</v>
      </c>
      <c r="C56" s="25" t="s">
        <v>35</v>
      </c>
      <c r="D56" s="42">
        <v>25637.0</v>
      </c>
      <c r="E56" s="42">
        <v>29390.0</v>
      </c>
      <c r="F56" s="44"/>
      <c r="G56" s="42">
        <v>3730.0</v>
      </c>
      <c r="H56" s="42">
        <v>19142.0</v>
      </c>
      <c r="I56" s="26"/>
      <c r="J56" s="19">
        <v>0.0</v>
      </c>
      <c r="K56" s="29">
        <f t="shared" si="1"/>
        <v>77899</v>
      </c>
    </row>
    <row r="57">
      <c r="A57" s="22"/>
      <c r="B57" s="25" t="s">
        <v>111</v>
      </c>
      <c r="C57" s="25" t="s">
        <v>36</v>
      </c>
      <c r="D57" s="42">
        <v>48028.0</v>
      </c>
      <c r="E57" s="42">
        <v>66875.0</v>
      </c>
      <c r="F57" s="44"/>
      <c r="G57" s="42">
        <v>11836.0</v>
      </c>
      <c r="H57" s="42">
        <v>35493.0</v>
      </c>
      <c r="I57" s="26"/>
      <c r="J57" s="19">
        <v>0.0</v>
      </c>
      <c r="K57" s="29">
        <f t="shared" si="1"/>
        <v>162232</v>
      </c>
    </row>
    <row r="58">
      <c r="A58" s="22"/>
      <c r="B58" s="25" t="s">
        <v>112</v>
      </c>
      <c r="C58" s="25" t="s">
        <v>30</v>
      </c>
      <c r="D58" s="42">
        <v>19438.0</v>
      </c>
      <c r="E58" s="42">
        <v>30985.0</v>
      </c>
      <c r="F58" s="44"/>
      <c r="G58" s="42">
        <v>4425.0</v>
      </c>
      <c r="H58" s="42">
        <v>16685.0</v>
      </c>
      <c r="I58" s="26"/>
      <c r="J58" s="19">
        <v>0.0</v>
      </c>
      <c r="K58" s="29">
        <f t="shared" si="1"/>
        <v>71533</v>
      </c>
    </row>
    <row r="59">
      <c r="A59" s="22"/>
      <c r="B59" s="25" t="s">
        <v>113</v>
      </c>
      <c r="C59" s="25" t="s">
        <v>29</v>
      </c>
      <c r="D59" s="42">
        <v>28979.0</v>
      </c>
      <c r="E59" s="42">
        <v>52446.0</v>
      </c>
      <c r="F59" s="44"/>
      <c r="G59" s="42">
        <v>8087.0</v>
      </c>
      <c r="H59" s="42">
        <v>25837.0</v>
      </c>
      <c r="I59" s="26"/>
      <c r="J59" s="19">
        <v>0.0</v>
      </c>
      <c r="K59" s="29">
        <f t="shared" si="1"/>
        <v>115349</v>
      </c>
    </row>
    <row r="60">
      <c r="A60" s="22"/>
      <c r="B60" s="25" t="s">
        <v>114</v>
      </c>
      <c r="C60" s="25" t="s">
        <v>31</v>
      </c>
      <c r="D60" s="42">
        <v>41961.0</v>
      </c>
      <c r="E60" s="42">
        <v>46883.0</v>
      </c>
      <c r="F60" s="44"/>
      <c r="G60" s="42">
        <v>13125.0</v>
      </c>
      <c r="H60" s="42">
        <v>32507.0</v>
      </c>
      <c r="I60" s="26"/>
      <c r="J60" s="19">
        <v>0.0</v>
      </c>
      <c r="K60" s="29">
        <f t="shared" si="1"/>
        <v>134476</v>
      </c>
    </row>
    <row r="61">
      <c r="A61" s="22"/>
      <c r="B61" s="25" t="s">
        <v>117</v>
      </c>
      <c r="C61" s="25" t="s">
        <v>32</v>
      </c>
      <c r="D61" s="42">
        <v>20618.0</v>
      </c>
      <c r="E61" s="42">
        <v>25175.0</v>
      </c>
      <c r="F61" s="44"/>
      <c r="G61" s="42">
        <v>4643.0</v>
      </c>
      <c r="H61" s="42">
        <v>18931.0</v>
      </c>
      <c r="I61" s="26"/>
      <c r="J61" s="19">
        <v>0.0</v>
      </c>
      <c r="K61" s="29">
        <f t="shared" si="1"/>
        <v>69367</v>
      </c>
    </row>
    <row r="62">
      <c r="A62" s="22"/>
      <c r="B62" s="25" t="s">
        <v>119</v>
      </c>
      <c r="C62" s="25" t="s">
        <v>34</v>
      </c>
      <c r="D62" s="42">
        <v>22613.0</v>
      </c>
      <c r="E62" s="42">
        <v>36962.0</v>
      </c>
      <c r="F62" s="44"/>
      <c r="G62" s="42">
        <v>6088.0</v>
      </c>
      <c r="H62" s="42">
        <v>21518.0</v>
      </c>
      <c r="I62" s="26"/>
      <c r="J62" s="19">
        <v>0.0</v>
      </c>
      <c r="K62" s="29">
        <f t="shared" si="1"/>
        <v>87181</v>
      </c>
    </row>
    <row r="63">
      <c r="A63" s="22"/>
      <c r="B63" s="25" t="s">
        <v>121</v>
      </c>
      <c r="C63" s="25" t="s">
        <v>35</v>
      </c>
      <c r="D63" s="42">
        <v>34804.0</v>
      </c>
      <c r="E63" s="42">
        <v>55624.0</v>
      </c>
      <c r="F63" s="44"/>
      <c r="G63" s="42">
        <v>8928.0</v>
      </c>
      <c r="H63" s="42">
        <v>25754.0</v>
      </c>
      <c r="I63" s="26"/>
      <c r="J63" s="19">
        <v>0.0</v>
      </c>
      <c r="K63" s="29">
        <f t="shared" si="1"/>
        <v>125110</v>
      </c>
    </row>
    <row r="64">
      <c r="A64" s="49"/>
      <c r="B64" s="72" t="s">
        <v>75</v>
      </c>
      <c r="C64" s="73"/>
      <c r="D64" s="54">
        <v>312100.0</v>
      </c>
      <c r="E64" s="54">
        <v>1149302.0</v>
      </c>
      <c r="F64" s="56"/>
      <c r="G64" s="54">
        <v>109018.0</v>
      </c>
      <c r="H64" s="54">
        <v>516644.0</v>
      </c>
      <c r="I64" s="57"/>
      <c r="J64" s="19">
        <v>0.0</v>
      </c>
      <c r="K64" s="29">
        <f t="shared" si="1"/>
        <v>2087064</v>
      </c>
    </row>
    <row r="65">
      <c r="A65" s="60" t="s">
        <v>126</v>
      </c>
      <c r="B65" s="69">
        <v>46023.0</v>
      </c>
      <c r="C65" s="70" t="s">
        <v>36</v>
      </c>
      <c r="D65" s="42">
        <v>39010.0</v>
      </c>
      <c r="E65" s="42">
        <v>70296.0</v>
      </c>
      <c r="F65" s="44"/>
      <c r="G65" s="42">
        <v>10754.0</v>
      </c>
      <c r="H65" s="42">
        <v>40989.0</v>
      </c>
      <c r="I65" s="26"/>
      <c r="J65" s="19">
        <v>0.0</v>
      </c>
      <c r="K65" s="29">
        <f t="shared" si="1"/>
        <v>161049</v>
      </c>
    </row>
    <row r="66">
      <c r="A66" s="22"/>
      <c r="B66" s="69">
        <v>46054.0</v>
      </c>
      <c r="C66" s="70" t="s">
        <v>30</v>
      </c>
      <c r="D66" s="42">
        <v>25518.0</v>
      </c>
      <c r="E66" s="42">
        <v>36713.0</v>
      </c>
      <c r="F66" s="44"/>
      <c r="G66" s="42">
        <v>5120.0</v>
      </c>
      <c r="H66" s="42">
        <v>21183.0</v>
      </c>
      <c r="I66" s="26"/>
      <c r="J66" s="19">
        <v>0.0</v>
      </c>
      <c r="K66" s="29">
        <f t="shared" si="1"/>
        <v>88534</v>
      </c>
    </row>
    <row r="67">
      <c r="A67" s="22"/>
      <c r="B67" s="69">
        <v>46082.0</v>
      </c>
      <c r="C67" s="70" t="s">
        <v>29</v>
      </c>
      <c r="D67" s="42">
        <v>43415.0</v>
      </c>
      <c r="E67" s="42">
        <v>58930.0</v>
      </c>
      <c r="F67" s="44"/>
      <c r="G67" s="42">
        <v>8376.0</v>
      </c>
      <c r="H67" s="42">
        <v>34184.0</v>
      </c>
      <c r="I67" s="26"/>
      <c r="J67" s="19">
        <v>0.0</v>
      </c>
      <c r="K67" s="29">
        <f t="shared" si="1"/>
        <v>144905</v>
      </c>
    </row>
    <row r="68">
      <c r="A68" s="22"/>
      <c r="B68" s="69">
        <v>46113.0</v>
      </c>
      <c r="C68" s="70" t="s">
        <v>31</v>
      </c>
      <c r="D68" s="42">
        <v>39252.0</v>
      </c>
      <c r="E68" s="42">
        <v>61657.0</v>
      </c>
      <c r="F68" s="44"/>
      <c r="G68" s="42">
        <v>9802.0</v>
      </c>
      <c r="H68" s="42">
        <v>35588.0</v>
      </c>
      <c r="I68" s="26"/>
      <c r="J68" s="19">
        <v>0.0</v>
      </c>
      <c r="K68" s="29">
        <f t="shared" si="1"/>
        <v>146299</v>
      </c>
    </row>
    <row r="69">
      <c r="A69" s="22"/>
      <c r="B69" s="69">
        <v>46143.0</v>
      </c>
      <c r="C69" s="70" t="s">
        <v>32</v>
      </c>
      <c r="D69" s="42">
        <v>15497.0</v>
      </c>
      <c r="E69" s="42">
        <v>23453.0</v>
      </c>
      <c r="F69" s="44"/>
      <c r="G69" s="76"/>
      <c r="H69" s="42">
        <v>14160.0</v>
      </c>
      <c r="I69" s="26"/>
      <c r="J69" s="19">
        <v>0.0</v>
      </c>
      <c r="K69" s="29">
        <f t="shared" si="1"/>
        <v>53110</v>
      </c>
    </row>
    <row r="70">
      <c r="A70" s="22"/>
      <c r="B70" s="69">
        <v>46174.0</v>
      </c>
      <c r="C70" s="70" t="s">
        <v>34</v>
      </c>
      <c r="D70" s="42">
        <v>12140.0</v>
      </c>
      <c r="E70" s="42">
        <v>24818.0</v>
      </c>
      <c r="F70" s="44"/>
      <c r="G70" s="42">
        <v>2346.0</v>
      </c>
      <c r="H70" s="42">
        <v>12643.0</v>
      </c>
      <c r="I70" s="26"/>
      <c r="J70" s="19">
        <v>0.0</v>
      </c>
      <c r="K70" s="29">
        <f t="shared" si="1"/>
        <v>51947</v>
      </c>
    </row>
    <row r="71">
      <c r="A71" s="22"/>
      <c r="B71" s="69">
        <v>46204.0</v>
      </c>
      <c r="C71" s="70" t="s">
        <v>35</v>
      </c>
      <c r="D71" s="42">
        <v>18741.0</v>
      </c>
      <c r="E71" s="42">
        <v>22611.0</v>
      </c>
      <c r="F71" s="44"/>
      <c r="G71" s="42">
        <v>2948.0</v>
      </c>
      <c r="H71" s="42">
        <v>14898.0</v>
      </c>
      <c r="I71" s="26"/>
      <c r="J71" s="19">
        <v>0.0</v>
      </c>
      <c r="K71" s="29">
        <f t="shared" si="1"/>
        <v>59198</v>
      </c>
    </row>
    <row r="72">
      <c r="A72" s="22"/>
      <c r="B72" s="69">
        <v>46235.0</v>
      </c>
      <c r="C72" s="70" t="s">
        <v>36</v>
      </c>
      <c r="D72" s="42">
        <v>18662.0</v>
      </c>
      <c r="E72" s="42">
        <v>29294.0</v>
      </c>
      <c r="F72" s="44"/>
      <c r="G72" s="42">
        <v>5847.0</v>
      </c>
      <c r="H72" s="42">
        <v>16885.0</v>
      </c>
      <c r="I72" s="26"/>
      <c r="J72" s="19">
        <v>0.0</v>
      </c>
      <c r="K72" s="29">
        <f t="shared" si="1"/>
        <v>70688</v>
      </c>
    </row>
    <row r="73">
      <c r="A73" s="22"/>
      <c r="B73" s="69">
        <v>46266.0</v>
      </c>
      <c r="C73" s="70" t="s">
        <v>30</v>
      </c>
      <c r="D73" s="42">
        <v>21004.0</v>
      </c>
      <c r="E73" s="42">
        <v>31214.0</v>
      </c>
      <c r="F73" s="44"/>
      <c r="G73" s="42">
        <v>4904.0</v>
      </c>
      <c r="H73" s="42">
        <v>22062.0</v>
      </c>
      <c r="I73" s="26"/>
      <c r="J73" s="19">
        <v>0.0</v>
      </c>
      <c r="K73" s="29">
        <f t="shared" si="1"/>
        <v>79184</v>
      </c>
    </row>
    <row r="74">
      <c r="A74" s="22"/>
      <c r="B74" s="69">
        <v>46296.0</v>
      </c>
      <c r="C74" s="70" t="s">
        <v>29</v>
      </c>
      <c r="D74" s="42">
        <v>50401.0</v>
      </c>
      <c r="E74" s="42">
        <v>63082.0</v>
      </c>
      <c r="F74" s="44"/>
      <c r="G74" s="42">
        <v>12246.0</v>
      </c>
      <c r="H74" s="42">
        <v>42266.0</v>
      </c>
      <c r="I74" s="26"/>
      <c r="J74" s="19">
        <v>0.0</v>
      </c>
      <c r="K74" s="29">
        <f t="shared" si="1"/>
        <v>167995</v>
      </c>
    </row>
    <row r="75">
      <c r="A75" s="22"/>
      <c r="B75" s="69">
        <v>46327.0</v>
      </c>
      <c r="C75" s="70" t="s">
        <v>31</v>
      </c>
      <c r="D75" s="42">
        <v>50765.0</v>
      </c>
      <c r="E75" s="42">
        <v>56778.0</v>
      </c>
      <c r="F75" s="44"/>
      <c r="G75" s="42">
        <v>15366.0</v>
      </c>
      <c r="H75" s="42">
        <v>37406.0</v>
      </c>
      <c r="I75" s="26"/>
      <c r="J75" s="19">
        <v>0.0</v>
      </c>
      <c r="K75" s="29">
        <f t="shared" si="1"/>
        <v>160315</v>
      </c>
    </row>
    <row r="76">
      <c r="A76" s="22"/>
      <c r="B76" s="69">
        <v>46357.0</v>
      </c>
      <c r="C76" s="70" t="s">
        <v>32</v>
      </c>
      <c r="D76" s="42">
        <v>19660.0</v>
      </c>
      <c r="E76" s="42">
        <v>24732.0</v>
      </c>
      <c r="F76" s="44"/>
      <c r="G76" s="42">
        <v>3066.0</v>
      </c>
      <c r="H76" s="42">
        <v>14571.0</v>
      </c>
      <c r="I76" s="26"/>
      <c r="J76" s="19">
        <v>0.0</v>
      </c>
      <c r="K76" s="29">
        <f t="shared" si="1"/>
        <v>62029</v>
      </c>
    </row>
    <row r="77">
      <c r="A77" s="22"/>
      <c r="B77" s="71" t="s">
        <v>128</v>
      </c>
      <c r="C77" s="70" t="s">
        <v>34</v>
      </c>
      <c r="D77" s="42">
        <v>18550.0</v>
      </c>
      <c r="E77" s="42">
        <v>23599.0</v>
      </c>
      <c r="F77" s="44"/>
      <c r="G77" s="42">
        <v>5379.0</v>
      </c>
      <c r="H77" s="42">
        <v>14126.0</v>
      </c>
      <c r="I77" s="26"/>
      <c r="J77" s="19">
        <v>0.0</v>
      </c>
      <c r="K77" s="29">
        <f t="shared" si="1"/>
        <v>61654</v>
      </c>
    </row>
    <row r="78">
      <c r="A78" s="22"/>
      <c r="B78" s="71" t="s">
        <v>129</v>
      </c>
      <c r="C78" s="70" t="s">
        <v>35</v>
      </c>
      <c r="D78" s="42">
        <v>17391.0</v>
      </c>
      <c r="E78" s="42">
        <v>23040.0</v>
      </c>
      <c r="F78" s="44"/>
      <c r="G78" s="42">
        <v>3841.0</v>
      </c>
      <c r="H78" s="42">
        <v>18792.0</v>
      </c>
      <c r="I78" s="26"/>
      <c r="J78" s="19">
        <v>0.0</v>
      </c>
      <c r="K78" s="29">
        <f t="shared" si="1"/>
        <v>63064</v>
      </c>
    </row>
    <row r="79">
      <c r="A79" s="22"/>
      <c r="B79" s="71" t="s">
        <v>130</v>
      </c>
      <c r="C79" s="70" t="s">
        <v>36</v>
      </c>
      <c r="D79" s="42">
        <v>16583.0</v>
      </c>
      <c r="E79" s="42">
        <v>25135.0</v>
      </c>
      <c r="F79" s="44"/>
      <c r="G79" s="42">
        <v>3743.0</v>
      </c>
      <c r="H79" s="42">
        <v>17905.0</v>
      </c>
      <c r="I79" s="26"/>
      <c r="J79" s="19">
        <v>0.0</v>
      </c>
      <c r="K79" s="29">
        <f t="shared" si="1"/>
        <v>63366</v>
      </c>
    </row>
    <row r="80">
      <c r="A80" s="22"/>
      <c r="B80" s="71" t="s">
        <v>131</v>
      </c>
      <c r="C80" s="70" t="s">
        <v>30</v>
      </c>
      <c r="D80" s="42">
        <v>30088.0</v>
      </c>
      <c r="E80" s="42">
        <v>41066.0</v>
      </c>
      <c r="F80" s="44"/>
      <c r="G80" s="42">
        <v>13047.0</v>
      </c>
      <c r="H80" s="42">
        <v>27498.0</v>
      </c>
      <c r="I80" s="26"/>
      <c r="J80" s="19">
        <v>0.0</v>
      </c>
      <c r="K80" s="29">
        <f t="shared" si="1"/>
        <v>111699</v>
      </c>
    </row>
    <row r="81">
      <c r="A81" s="22"/>
      <c r="B81" s="71" t="s">
        <v>132</v>
      </c>
      <c r="C81" s="70" t="s">
        <v>29</v>
      </c>
      <c r="D81" s="42">
        <v>77682.0</v>
      </c>
      <c r="E81" s="42">
        <v>61608.0</v>
      </c>
      <c r="F81" s="44"/>
      <c r="G81" s="42">
        <v>26475.0</v>
      </c>
      <c r="H81" s="42">
        <v>65976.0</v>
      </c>
      <c r="I81" s="26"/>
      <c r="J81" s="19">
        <v>0.0</v>
      </c>
      <c r="K81" s="29">
        <f t="shared" si="1"/>
        <v>231741</v>
      </c>
    </row>
    <row r="82">
      <c r="A82" s="22"/>
      <c r="B82" s="71" t="s">
        <v>133</v>
      </c>
      <c r="C82" s="70" t="s">
        <v>31</v>
      </c>
      <c r="D82" s="42">
        <v>77859.0</v>
      </c>
      <c r="E82" s="42">
        <v>64669.0</v>
      </c>
      <c r="F82" s="44"/>
      <c r="G82" s="42">
        <v>27734.0</v>
      </c>
      <c r="H82" s="42">
        <v>59710.0</v>
      </c>
      <c r="I82" s="26"/>
      <c r="J82" s="19">
        <v>0.0</v>
      </c>
      <c r="K82" s="29">
        <f t="shared" si="1"/>
        <v>229972</v>
      </c>
    </row>
    <row r="83">
      <c r="A83" s="22"/>
      <c r="B83" s="71" t="s">
        <v>134</v>
      </c>
      <c r="C83" s="70" t="s">
        <v>32</v>
      </c>
      <c r="D83" s="42">
        <v>26684.0</v>
      </c>
      <c r="E83" s="42">
        <v>26187.0</v>
      </c>
      <c r="F83" s="44"/>
      <c r="G83" s="42">
        <v>8683.0</v>
      </c>
      <c r="H83" s="42">
        <v>20561.0</v>
      </c>
      <c r="I83" s="26"/>
      <c r="J83" s="19">
        <v>0.0</v>
      </c>
      <c r="K83" s="29">
        <f t="shared" si="1"/>
        <v>82115</v>
      </c>
    </row>
    <row r="84">
      <c r="A84" s="22"/>
      <c r="B84" s="71" t="s">
        <v>135</v>
      </c>
      <c r="C84" s="70" t="s">
        <v>34</v>
      </c>
      <c r="D84" s="42">
        <v>23720.0</v>
      </c>
      <c r="E84" s="42">
        <v>34301.0</v>
      </c>
      <c r="F84" s="44"/>
      <c r="G84" s="42">
        <v>8836.0</v>
      </c>
      <c r="H84" s="42">
        <v>23011.0</v>
      </c>
      <c r="I84" s="26"/>
      <c r="J84" s="19">
        <v>0.0</v>
      </c>
      <c r="K84" s="29">
        <f t="shared" si="1"/>
        <v>89868</v>
      </c>
    </row>
    <row r="85">
      <c r="A85" s="22"/>
      <c r="B85" s="71" t="s">
        <v>136</v>
      </c>
      <c r="C85" s="70" t="s">
        <v>35</v>
      </c>
      <c r="D85" s="42">
        <v>33730.0</v>
      </c>
      <c r="E85" s="42">
        <v>24498.0</v>
      </c>
      <c r="F85" s="44"/>
      <c r="G85" s="42">
        <v>8897.0</v>
      </c>
      <c r="H85" s="42">
        <v>30615.0</v>
      </c>
      <c r="I85" s="26"/>
      <c r="J85" s="19">
        <v>0.0</v>
      </c>
      <c r="K85" s="29">
        <f t="shared" si="1"/>
        <v>97740</v>
      </c>
    </row>
    <row r="86">
      <c r="A86" s="22"/>
      <c r="B86" s="71" t="s">
        <v>137</v>
      </c>
      <c r="C86" s="70" t="s">
        <v>36</v>
      </c>
      <c r="D86" s="42">
        <v>24574.0</v>
      </c>
      <c r="E86" s="42">
        <v>33875.0</v>
      </c>
      <c r="F86" s="44"/>
      <c r="G86" s="42">
        <v>8175.0</v>
      </c>
      <c r="H86" s="42">
        <v>31054.0</v>
      </c>
      <c r="I86" s="26"/>
      <c r="J86" s="19">
        <v>0.0</v>
      </c>
      <c r="K86" s="29">
        <f t="shared" si="1"/>
        <v>97678</v>
      </c>
    </row>
    <row r="87">
      <c r="A87" s="22"/>
      <c r="B87" s="71" t="s">
        <v>138</v>
      </c>
      <c r="C87" s="70" t="s">
        <v>30</v>
      </c>
      <c r="D87" s="42">
        <v>19710.0</v>
      </c>
      <c r="E87" s="42">
        <v>27287.0</v>
      </c>
      <c r="F87" s="44"/>
      <c r="G87" s="42">
        <v>6823.0</v>
      </c>
      <c r="H87" s="42">
        <v>26873.0</v>
      </c>
      <c r="I87" s="26"/>
      <c r="J87" s="19">
        <v>0.0</v>
      </c>
      <c r="K87" s="29">
        <f t="shared" si="1"/>
        <v>80693</v>
      </c>
    </row>
    <row r="88">
      <c r="A88" s="22"/>
      <c r="B88" s="71" t="s">
        <v>139</v>
      </c>
      <c r="C88" s="70" t="s">
        <v>29</v>
      </c>
      <c r="D88" s="42">
        <v>54815.0</v>
      </c>
      <c r="E88" s="42">
        <v>59085.0</v>
      </c>
      <c r="F88" s="44"/>
      <c r="G88" s="42">
        <v>13743.0</v>
      </c>
      <c r="H88" s="42">
        <v>54446.0</v>
      </c>
      <c r="I88" s="26"/>
      <c r="J88" s="19">
        <v>0.0</v>
      </c>
      <c r="K88" s="29">
        <f t="shared" si="1"/>
        <v>182089</v>
      </c>
    </row>
    <row r="89">
      <c r="A89" s="22"/>
      <c r="B89" s="71" t="s">
        <v>140</v>
      </c>
      <c r="C89" s="70" t="s">
        <v>31</v>
      </c>
      <c r="D89" s="42">
        <v>61266.0</v>
      </c>
      <c r="E89" s="42">
        <v>71047.0</v>
      </c>
      <c r="F89" s="44"/>
      <c r="G89" s="42">
        <v>9133.0</v>
      </c>
      <c r="H89" s="42">
        <v>62816.0</v>
      </c>
      <c r="I89" s="26"/>
      <c r="J89" s="19">
        <v>0.0</v>
      </c>
      <c r="K89" s="29">
        <f t="shared" si="1"/>
        <v>204262</v>
      </c>
    </row>
    <row r="90">
      <c r="A90" s="22"/>
      <c r="B90" s="71" t="s">
        <v>141</v>
      </c>
      <c r="C90" s="70" t="s">
        <v>32</v>
      </c>
      <c r="D90" s="42">
        <v>57888.0</v>
      </c>
      <c r="E90" s="42">
        <v>60997.0</v>
      </c>
      <c r="F90" s="44"/>
      <c r="G90" s="42">
        <v>6285.0</v>
      </c>
      <c r="H90" s="42">
        <v>48441.0</v>
      </c>
      <c r="I90" s="26"/>
      <c r="J90" s="19">
        <v>0.0</v>
      </c>
      <c r="K90" s="29">
        <f t="shared" si="1"/>
        <v>173611</v>
      </c>
    </row>
    <row r="91">
      <c r="A91" s="22"/>
      <c r="B91" s="71" t="s">
        <v>142</v>
      </c>
      <c r="C91" s="70" t="s">
        <v>34</v>
      </c>
      <c r="D91" s="42">
        <v>4566.0</v>
      </c>
      <c r="E91" s="42">
        <v>8676.0</v>
      </c>
      <c r="F91" s="44"/>
      <c r="G91" s="76"/>
      <c r="H91" s="42">
        <v>7347.0</v>
      </c>
      <c r="I91" s="26"/>
      <c r="J91" s="19">
        <v>0.0</v>
      </c>
      <c r="K91" s="29">
        <f t="shared" si="1"/>
        <v>20589</v>
      </c>
    </row>
    <row r="92">
      <c r="A92" s="22"/>
      <c r="B92" s="71" t="s">
        <v>143</v>
      </c>
      <c r="C92" s="70" t="s">
        <v>35</v>
      </c>
      <c r="D92" s="42">
        <v>17332.0</v>
      </c>
      <c r="E92" s="42">
        <v>17674.0</v>
      </c>
      <c r="F92" s="44"/>
      <c r="G92" s="42">
        <v>1631.0</v>
      </c>
      <c r="H92" s="42">
        <v>16577.0</v>
      </c>
      <c r="I92" s="26"/>
      <c r="J92" s="19">
        <v>0.0</v>
      </c>
      <c r="K92" s="29">
        <f t="shared" si="1"/>
        <v>53214</v>
      </c>
    </row>
    <row r="93">
      <c r="A93" s="22"/>
      <c r="B93" s="71" t="s">
        <v>144</v>
      </c>
      <c r="C93" s="70" t="s">
        <v>36</v>
      </c>
      <c r="D93" s="42">
        <v>22699.0</v>
      </c>
      <c r="E93" s="42">
        <v>18586.0</v>
      </c>
      <c r="F93" s="44"/>
      <c r="G93" s="42">
        <v>1094.0</v>
      </c>
      <c r="H93" s="42">
        <v>18073.0</v>
      </c>
      <c r="I93" s="26"/>
      <c r="J93" s="19">
        <v>0.0</v>
      </c>
      <c r="K93" s="29">
        <f t="shared" si="1"/>
        <v>60452</v>
      </c>
    </row>
    <row r="94">
      <c r="A94" s="22"/>
      <c r="B94" s="71" t="s">
        <v>145</v>
      </c>
      <c r="C94" s="70" t="s">
        <v>30</v>
      </c>
      <c r="D94" s="42">
        <v>25680.0</v>
      </c>
      <c r="E94" s="42">
        <v>28954.0</v>
      </c>
      <c r="F94" s="44"/>
      <c r="G94" s="42">
        <v>3401.0</v>
      </c>
      <c r="H94" s="42">
        <v>26644.0</v>
      </c>
      <c r="I94" s="26"/>
      <c r="J94" s="19">
        <v>0.0</v>
      </c>
      <c r="K94" s="29">
        <f t="shared" si="1"/>
        <v>84679</v>
      </c>
    </row>
    <row r="95">
      <c r="A95" s="22"/>
      <c r="B95" s="71" t="s">
        <v>146</v>
      </c>
      <c r="C95" s="70" t="s">
        <v>29</v>
      </c>
      <c r="D95" s="42">
        <v>56805.0</v>
      </c>
      <c r="E95" s="42">
        <v>47792.0</v>
      </c>
      <c r="F95" s="44"/>
      <c r="G95" s="42">
        <v>15654.0</v>
      </c>
      <c r="H95" s="42">
        <v>46250.0</v>
      </c>
      <c r="I95" s="26"/>
      <c r="J95" s="19">
        <v>0.0</v>
      </c>
      <c r="K95" s="29">
        <f t="shared" si="1"/>
        <v>166501</v>
      </c>
    </row>
    <row r="96">
      <c r="A96" s="49"/>
      <c r="B96" s="78"/>
      <c r="C96" s="79"/>
      <c r="D96" s="54">
        <v>1021687.0</v>
      </c>
      <c r="E96" s="54">
        <v>1201654.0</v>
      </c>
      <c r="F96" s="56"/>
      <c r="G96" s="54">
        <v>253349.0</v>
      </c>
      <c r="H96" s="54">
        <v>923550.0</v>
      </c>
      <c r="I96" s="57"/>
      <c r="J96" s="19">
        <v>0.0</v>
      </c>
      <c r="K96" s="29">
        <f t="shared" si="1"/>
        <v>3400240</v>
      </c>
    </row>
    <row r="97">
      <c r="A97" s="60" t="s">
        <v>149</v>
      </c>
      <c r="B97" s="69">
        <v>46024.0</v>
      </c>
      <c r="C97" s="70" t="s">
        <v>31</v>
      </c>
      <c r="D97" s="27">
        <v>62447.0</v>
      </c>
      <c r="E97" s="42">
        <v>56570.0</v>
      </c>
      <c r="F97" s="44"/>
      <c r="G97" s="42">
        <v>19808.0</v>
      </c>
      <c r="H97" s="42">
        <v>59138.0</v>
      </c>
      <c r="I97" s="26"/>
      <c r="J97" s="19">
        <v>0.0</v>
      </c>
      <c r="K97" s="29">
        <f t="shared" si="1"/>
        <v>197963</v>
      </c>
    </row>
    <row r="98">
      <c r="A98" s="22"/>
      <c r="B98" s="69">
        <v>46055.0</v>
      </c>
      <c r="C98" s="70" t="s">
        <v>32</v>
      </c>
      <c r="D98" s="27">
        <v>15787.0</v>
      </c>
      <c r="E98" s="42">
        <v>19532.0</v>
      </c>
      <c r="F98" s="44"/>
      <c r="G98" s="42">
        <v>4707.0</v>
      </c>
      <c r="H98" s="42">
        <v>18892.0</v>
      </c>
      <c r="I98" s="26"/>
      <c r="J98" s="19">
        <v>0.0</v>
      </c>
      <c r="K98" s="29">
        <f t="shared" si="1"/>
        <v>58918</v>
      </c>
    </row>
    <row r="99">
      <c r="A99" s="22"/>
      <c r="B99" s="69">
        <v>46083.0</v>
      </c>
      <c r="C99" s="70" t="s">
        <v>34</v>
      </c>
      <c r="D99" s="27">
        <v>23867.0</v>
      </c>
      <c r="E99" s="42">
        <v>21789.0</v>
      </c>
      <c r="F99" s="44"/>
      <c r="G99" s="42">
        <v>7019.0</v>
      </c>
      <c r="H99" s="42">
        <v>19549.0</v>
      </c>
      <c r="I99" s="26"/>
      <c r="J99" s="19">
        <v>0.0</v>
      </c>
      <c r="K99" s="29">
        <f t="shared" si="1"/>
        <v>72224</v>
      </c>
    </row>
    <row r="100">
      <c r="A100" s="22"/>
      <c r="B100" s="69">
        <v>46114.0</v>
      </c>
      <c r="C100" s="70" t="s">
        <v>35</v>
      </c>
      <c r="D100" s="27">
        <v>16329.0</v>
      </c>
      <c r="E100" s="42">
        <v>20312.0</v>
      </c>
      <c r="F100" s="44"/>
      <c r="G100" s="42">
        <v>4835.0</v>
      </c>
      <c r="H100" s="42">
        <v>20591.0</v>
      </c>
      <c r="I100" s="26"/>
      <c r="J100" s="19">
        <v>0.0</v>
      </c>
      <c r="K100" s="29">
        <f t="shared" si="1"/>
        <v>62067</v>
      </c>
    </row>
    <row r="101">
      <c r="A101" s="22"/>
      <c r="B101" s="69">
        <v>46144.0</v>
      </c>
      <c r="C101" s="70" t="s">
        <v>36</v>
      </c>
      <c r="D101" s="27">
        <v>25805.0</v>
      </c>
      <c r="E101" s="42">
        <v>31339.0</v>
      </c>
      <c r="F101" s="44"/>
      <c r="G101" s="42">
        <v>8655.0</v>
      </c>
      <c r="H101" s="42">
        <v>22491.0</v>
      </c>
      <c r="I101" s="26"/>
      <c r="J101" s="19">
        <v>0.0</v>
      </c>
      <c r="K101" s="29">
        <f t="shared" si="1"/>
        <v>88290</v>
      </c>
    </row>
    <row r="102">
      <c r="A102" s="22"/>
      <c r="B102" s="69">
        <v>46175.0</v>
      </c>
      <c r="C102" s="70" t="s">
        <v>30</v>
      </c>
      <c r="D102" s="27">
        <v>36149.0</v>
      </c>
      <c r="E102" s="42">
        <v>34715.0</v>
      </c>
      <c r="F102" s="44"/>
      <c r="G102" s="42">
        <v>10601.0</v>
      </c>
      <c r="H102" s="42">
        <v>28934.0</v>
      </c>
      <c r="I102" s="26"/>
      <c r="J102" s="19">
        <v>0.0</v>
      </c>
      <c r="K102" s="29">
        <f t="shared" si="1"/>
        <v>110399</v>
      </c>
    </row>
    <row r="103">
      <c r="A103" s="22"/>
      <c r="B103" s="69">
        <v>46205.0</v>
      </c>
      <c r="C103" s="70" t="s">
        <v>29</v>
      </c>
      <c r="D103" s="27">
        <v>49319.0</v>
      </c>
      <c r="E103" s="42">
        <v>58875.0</v>
      </c>
      <c r="F103" s="44"/>
      <c r="G103" s="42">
        <v>17753.0</v>
      </c>
      <c r="H103" s="42">
        <v>51386.0</v>
      </c>
      <c r="I103" s="26"/>
      <c r="J103" s="19">
        <v>0.0</v>
      </c>
      <c r="K103" s="29">
        <f t="shared" si="1"/>
        <v>177333</v>
      </c>
    </row>
    <row r="104">
      <c r="A104" s="22"/>
      <c r="B104" s="69">
        <v>46236.0</v>
      </c>
      <c r="C104" s="70" t="s">
        <v>31</v>
      </c>
      <c r="D104" s="27">
        <v>60130.0</v>
      </c>
      <c r="E104" s="42">
        <v>60534.0</v>
      </c>
      <c r="F104" s="44"/>
      <c r="G104" s="42">
        <v>21561.0</v>
      </c>
      <c r="H104" s="42">
        <v>60651.0</v>
      </c>
      <c r="I104" s="26"/>
      <c r="J104" s="19">
        <v>0.0</v>
      </c>
      <c r="K104" s="29">
        <f t="shared" si="1"/>
        <v>202876</v>
      </c>
    </row>
    <row r="105">
      <c r="A105" s="22"/>
      <c r="B105" s="69">
        <v>46267.0</v>
      </c>
      <c r="C105" s="70" t="s">
        <v>32</v>
      </c>
      <c r="D105" s="27">
        <v>18072.0</v>
      </c>
      <c r="E105" s="42">
        <v>21030.0</v>
      </c>
      <c r="F105" s="44"/>
      <c r="G105" s="42">
        <v>6051.0</v>
      </c>
      <c r="H105" s="42">
        <v>19385.0</v>
      </c>
      <c r="I105" s="26"/>
      <c r="J105" s="19">
        <v>0.0</v>
      </c>
      <c r="K105" s="29">
        <f t="shared" si="1"/>
        <v>64538</v>
      </c>
    </row>
    <row r="106">
      <c r="A106" s="22"/>
      <c r="B106" s="69">
        <v>46297.0</v>
      </c>
      <c r="C106" s="70" t="s">
        <v>34</v>
      </c>
      <c r="D106" s="27">
        <v>20095.0</v>
      </c>
      <c r="E106" s="42">
        <v>28979.0</v>
      </c>
      <c r="F106" s="44"/>
      <c r="G106" s="42">
        <v>4714.0</v>
      </c>
      <c r="H106" s="42">
        <v>21616.0</v>
      </c>
      <c r="I106" s="26"/>
      <c r="J106" s="19">
        <v>0.0</v>
      </c>
      <c r="K106" s="29">
        <f t="shared" si="1"/>
        <v>75404</v>
      </c>
    </row>
    <row r="107">
      <c r="A107" s="22"/>
      <c r="B107" s="69">
        <v>46328.0</v>
      </c>
      <c r="C107" s="70" t="s">
        <v>35</v>
      </c>
      <c r="D107" s="27">
        <v>19719.0</v>
      </c>
      <c r="E107" s="42">
        <v>25762.0</v>
      </c>
      <c r="F107" s="44"/>
      <c r="G107" s="42">
        <v>8114.0</v>
      </c>
      <c r="H107" s="42">
        <v>20376.0</v>
      </c>
      <c r="I107" s="26"/>
      <c r="J107" s="19">
        <v>0.0</v>
      </c>
      <c r="K107" s="29">
        <f t="shared" si="1"/>
        <v>73971</v>
      </c>
    </row>
    <row r="108">
      <c r="A108" s="22"/>
      <c r="B108" s="69">
        <v>46358.0</v>
      </c>
      <c r="C108" s="70" t="s">
        <v>36</v>
      </c>
      <c r="D108" s="27">
        <v>23398.0</v>
      </c>
      <c r="E108" s="42">
        <v>31641.0</v>
      </c>
      <c r="F108" s="44"/>
      <c r="G108" s="27">
        <v>7511.0</v>
      </c>
      <c r="H108" s="27">
        <v>22649.0</v>
      </c>
      <c r="I108" s="26"/>
      <c r="J108" s="19">
        <v>0.0</v>
      </c>
      <c r="K108" s="29">
        <f t="shared" si="1"/>
        <v>85199</v>
      </c>
    </row>
    <row r="109">
      <c r="A109" s="22"/>
      <c r="B109" s="71" t="s">
        <v>155</v>
      </c>
      <c r="C109" s="70" t="s">
        <v>30</v>
      </c>
      <c r="D109" s="27">
        <v>31621.0</v>
      </c>
      <c r="E109" s="42">
        <v>37017.0</v>
      </c>
      <c r="F109" s="44"/>
      <c r="G109" s="27">
        <v>9506.0</v>
      </c>
      <c r="H109" s="27">
        <v>32653.0</v>
      </c>
      <c r="I109" s="26"/>
      <c r="J109" s="19">
        <v>0.0</v>
      </c>
      <c r="K109" s="29">
        <f t="shared" si="1"/>
        <v>110797</v>
      </c>
    </row>
    <row r="110">
      <c r="A110" s="22"/>
      <c r="B110" s="71" t="s">
        <v>157</v>
      </c>
      <c r="C110" s="70" t="s">
        <v>29</v>
      </c>
      <c r="D110" s="27">
        <v>54437.0</v>
      </c>
      <c r="E110" s="42">
        <v>67144.0</v>
      </c>
      <c r="F110" s="44"/>
      <c r="G110" s="27">
        <v>26229.0</v>
      </c>
      <c r="H110" s="27">
        <v>57597.0</v>
      </c>
      <c r="I110" s="26"/>
      <c r="J110" s="19">
        <v>0.0</v>
      </c>
      <c r="K110" s="29">
        <f t="shared" si="1"/>
        <v>205407</v>
      </c>
    </row>
    <row r="111">
      <c r="A111" s="22"/>
      <c r="B111" s="71" t="s">
        <v>159</v>
      </c>
      <c r="C111" s="70" t="s">
        <v>31</v>
      </c>
      <c r="D111" s="27">
        <v>37466.0</v>
      </c>
      <c r="E111" s="42">
        <v>45454.0</v>
      </c>
      <c r="F111" s="44"/>
      <c r="G111" s="27">
        <v>11798.0</v>
      </c>
      <c r="H111" s="27">
        <v>30771.0</v>
      </c>
      <c r="I111" s="26"/>
      <c r="J111" s="19">
        <v>0.0</v>
      </c>
      <c r="K111" s="29">
        <f t="shared" si="1"/>
        <v>125489</v>
      </c>
    </row>
    <row r="112">
      <c r="A112" s="22"/>
      <c r="B112" s="71" t="s">
        <v>160</v>
      </c>
      <c r="C112" s="70" t="s">
        <v>32</v>
      </c>
      <c r="D112" s="27">
        <v>22396.0</v>
      </c>
      <c r="E112" s="42">
        <v>22836.0</v>
      </c>
      <c r="F112" s="44"/>
      <c r="G112" s="27">
        <v>9147.0</v>
      </c>
      <c r="H112" s="27">
        <v>25580.0</v>
      </c>
      <c r="I112" s="26"/>
      <c r="J112" s="19">
        <v>0.0</v>
      </c>
      <c r="K112" s="29">
        <f t="shared" si="1"/>
        <v>79959</v>
      </c>
    </row>
    <row r="113">
      <c r="A113" s="22"/>
      <c r="B113" s="71" t="s">
        <v>162</v>
      </c>
      <c r="C113" s="70" t="s">
        <v>34</v>
      </c>
      <c r="D113" s="27">
        <v>26165.0</v>
      </c>
      <c r="E113" s="42">
        <v>25602.0</v>
      </c>
      <c r="F113" s="44"/>
      <c r="G113" s="27">
        <v>11511.0</v>
      </c>
      <c r="H113" s="27">
        <v>29193.0</v>
      </c>
      <c r="I113" s="26"/>
      <c r="J113" s="19">
        <v>0.0</v>
      </c>
      <c r="K113" s="29">
        <f t="shared" si="1"/>
        <v>92471</v>
      </c>
    </row>
    <row r="114">
      <c r="A114" s="22"/>
      <c r="B114" s="71" t="s">
        <v>163</v>
      </c>
      <c r="C114" s="70" t="s">
        <v>35</v>
      </c>
      <c r="D114" s="27">
        <v>25718.0</v>
      </c>
      <c r="E114" s="42">
        <v>18660.0</v>
      </c>
      <c r="F114" s="44"/>
      <c r="G114" s="27">
        <v>8143.0</v>
      </c>
      <c r="H114" s="27">
        <v>23133.0</v>
      </c>
      <c r="I114" s="26"/>
      <c r="J114" s="19">
        <v>0.0</v>
      </c>
      <c r="K114" s="29">
        <f t="shared" si="1"/>
        <v>75654</v>
      </c>
    </row>
    <row r="115">
      <c r="A115" s="22"/>
      <c r="B115" s="71" t="s">
        <v>164</v>
      </c>
      <c r="C115" s="70" t="s">
        <v>36</v>
      </c>
      <c r="D115" s="27">
        <v>27520.0</v>
      </c>
      <c r="E115" s="42">
        <v>25371.0</v>
      </c>
      <c r="F115" s="44"/>
      <c r="G115" s="27">
        <v>10517.0</v>
      </c>
      <c r="H115" s="27">
        <v>27488.0</v>
      </c>
      <c r="I115" s="26"/>
      <c r="J115" s="19">
        <v>0.0</v>
      </c>
      <c r="K115" s="29">
        <f t="shared" si="1"/>
        <v>90896</v>
      </c>
    </row>
    <row r="116">
      <c r="A116" s="22"/>
      <c r="B116" s="71" t="s">
        <v>165</v>
      </c>
      <c r="C116" s="70" t="s">
        <v>30</v>
      </c>
      <c r="D116" s="27">
        <v>25423.0</v>
      </c>
      <c r="E116" s="42">
        <v>24383.0</v>
      </c>
      <c r="F116" s="44"/>
      <c r="G116" s="27">
        <v>11560.0</v>
      </c>
      <c r="H116" s="27">
        <v>27256.0</v>
      </c>
      <c r="I116" s="26"/>
      <c r="J116" s="19">
        <v>0.0</v>
      </c>
      <c r="K116" s="29">
        <f t="shared" si="1"/>
        <v>88622</v>
      </c>
    </row>
    <row r="117">
      <c r="A117" s="22"/>
      <c r="B117" s="71" t="s">
        <v>166</v>
      </c>
      <c r="C117" s="70" t="s">
        <v>29</v>
      </c>
      <c r="D117" s="27">
        <v>58041.0</v>
      </c>
      <c r="E117" s="42">
        <v>44921.0</v>
      </c>
      <c r="F117" s="44"/>
      <c r="G117" s="27">
        <v>23535.0</v>
      </c>
      <c r="H117" s="27">
        <v>56739.0</v>
      </c>
      <c r="I117" s="26"/>
      <c r="J117" s="19">
        <v>0.0</v>
      </c>
      <c r="K117" s="29">
        <f t="shared" si="1"/>
        <v>183236</v>
      </c>
    </row>
    <row r="118">
      <c r="A118" s="22"/>
      <c r="B118" s="71" t="s">
        <v>167</v>
      </c>
      <c r="C118" s="70" t="s">
        <v>31</v>
      </c>
      <c r="D118" s="27">
        <v>70691.0</v>
      </c>
      <c r="E118" s="42">
        <v>45152.0</v>
      </c>
      <c r="F118" s="44"/>
      <c r="G118" s="27">
        <v>31669.0</v>
      </c>
      <c r="H118" s="27">
        <v>56691.0</v>
      </c>
      <c r="I118" s="26"/>
      <c r="J118" s="19">
        <v>0.0</v>
      </c>
      <c r="K118" s="29">
        <f t="shared" si="1"/>
        <v>204203</v>
      </c>
    </row>
    <row r="119">
      <c r="A119" s="22"/>
      <c r="B119" s="71" t="s">
        <v>168</v>
      </c>
      <c r="C119" s="70" t="s">
        <v>32</v>
      </c>
      <c r="D119" s="27">
        <v>32358.0</v>
      </c>
      <c r="E119" s="42">
        <v>13250.0</v>
      </c>
      <c r="F119" s="44"/>
      <c r="G119" s="27">
        <v>9743.0</v>
      </c>
      <c r="H119" s="27">
        <v>21269.0</v>
      </c>
      <c r="I119" s="26"/>
      <c r="J119" s="19">
        <v>0.0</v>
      </c>
      <c r="K119" s="29">
        <f t="shared" si="1"/>
        <v>76620</v>
      </c>
    </row>
    <row r="120">
      <c r="A120" s="22"/>
      <c r="B120" s="71" t="s">
        <v>169</v>
      </c>
      <c r="C120" s="70" t="s">
        <v>34</v>
      </c>
      <c r="D120" s="27">
        <v>32109.0</v>
      </c>
      <c r="E120" s="42">
        <v>18378.0</v>
      </c>
      <c r="F120" s="44"/>
      <c r="G120" s="27">
        <v>11507.0</v>
      </c>
      <c r="H120" s="27">
        <v>25870.0</v>
      </c>
      <c r="I120" s="26"/>
      <c r="J120" s="19">
        <v>0.0</v>
      </c>
      <c r="K120" s="29">
        <f t="shared" si="1"/>
        <v>87864</v>
      </c>
    </row>
    <row r="121">
      <c r="A121" s="22"/>
      <c r="B121" s="71" t="s">
        <v>170</v>
      </c>
      <c r="C121" s="70" t="s">
        <v>35</v>
      </c>
      <c r="D121" s="27">
        <v>22096.0</v>
      </c>
      <c r="E121" s="42">
        <v>20638.0</v>
      </c>
      <c r="F121" s="44"/>
      <c r="G121" s="27">
        <v>8543.0</v>
      </c>
      <c r="H121" s="27">
        <v>27815.0</v>
      </c>
      <c r="I121" s="26"/>
      <c r="J121" s="19">
        <v>0.0</v>
      </c>
      <c r="K121" s="29">
        <f t="shared" si="1"/>
        <v>79092</v>
      </c>
    </row>
    <row r="122">
      <c r="A122" s="22"/>
      <c r="B122" s="71" t="s">
        <v>171</v>
      </c>
      <c r="C122" s="70" t="s">
        <v>36</v>
      </c>
      <c r="D122" s="27">
        <v>26526.0</v>
      </c>
      <c r="E122" s="42">
        <v>28034.0</v>
      </c>
      <c r="F122" s="44"/>
      <c r="G122" s="27">
        <v>10687.0</v>
      </c>
      <c r="H122" s="27">
        <v>28373.0</v>
      </c>
      <c r="I122" s="26"/>
      <c r="J122" s="19">
        <v>0.0</v>
      </c>
      <c r="K122" s="29">
        <f t="shared" si="1"/>
        <v>93620</v>
      </c>
    </row>
    <row r="123">
      <c r="A123" s="22"/>
      <c r="B123" s="71" t="s">
        <v>172</v>
      </c>
      <c r="C123" s="70" t="s">
        <v>30</v>
      </c>
      <c r="D123" s="27">
        <v>30585.0</v>
      </c>
      <c r="E123" s="42">
        <v>33933.0</v>
      </c>
      <c r="F123" s="44"/>
      <c r="G123" s="27">
        <v>12607.0</v>
      </c>
      <c r="H123" s="27">
        <v>34960.0</v>
      </c>
      <c r="I123" s="26"/>
      <c r="J123" s="19">
        <v>0.0</v>
      </c>
      <c r="K123" s="29">
        <f t="shared" si="1"/>
        <v>112085</v>
      </c>
    </row>
    <row r="124">
      <c r="A124" s="22"/>
      <c r="B124" s="71" t="s">
        <v>173</v>
      </c>
      <c r="C124" s="70" t="s">
        <v>29</v>
      </c>
      <c r="D124" s="27">
        <v>60375.0</v>
      </c>
      <c r="E124" s="42">
        <v>56425.0</v>
      </c>
      <c r="F124" s="44"/>
      <c r="G124" s="27">
        <v>17468.0</v>
      </c>
      <c r="H124" s="27">
        <v>52137.0</v>
      </c>
      <c r="I124" s="26"/>
      <c r="J124" s="19">
        <v>0.0</v>
      </c>
      <c r="K124" s="29">
        <f t="shared" si="1"/>
        <v>186405</v>
      </c>
    </row>
    <row r="125">
      <c r="A125" s="49"/>
      <c r="B125" s="81"/>
      <c r="C125" s="82"/>
      <c r="D125" s="87">
        <v>954644.0</v>
      </c>
      <c r="E125" s="87">
        <v>938276.0</v>
      </c>
      <c r="F125" s="88"/>
      <c r="G125" s="87">
        <v>345499.0</v>
      </c>
      <c r="H125" s="87">
        <v>923183.0</v>
      </c>
      <c r="I125" s="57"/>
      <c r="J125" s="19">
        <v>0.0</v>
      </c>
      <c r="K125" s="29">
        <f t="shared" si="1"/>
        <v>3161602</v>
      </c>
    </row>
    <row r="126">
      <c r="A126" s="60" t="s">
        <v>175</v>
      </c>
      <c r="B126" s="69">
        <v>46025.0</v>
      </c>
      <c r="C126" s="70" t="s">
        <v>31</v>
      </c>
      <c r="D126" s="27">
        <v>76720.0</v>
      </c>
      <c r="E126" s="42">
        <v>43805.0</v>
      </c>
      <c r="F126" s="44"/>
      <c r="G126" s="27">
        <v>23269.0</v>
      </c>
      <c r="H126" s="27">
        <v>51108.0</v>
      </c>
      <c r="I126" s="26"/>
      <c r="J126" s="19">
        <v>0.0</v>
      </c>
      <c r="K126" s="29">
        <f t="shared" si="1"/>
        <v>194902</v>
      </c>
    </row>
    <row r="127">
      <c r="A127" s="22"/>
      <c r="B127" s="69">
        <v>46056.0</v>
      </c>
      <c r="C127" s="70" t="s">
        <v>32</v>
      </c>
      <c r="D127" s="27">
        <v>21508.0</v>
      </c>
      <c r="E127" s="42">
        <v>20112.0</v>
      </c>
      <c r="F127" s="44"/>
      <c r="G127" s="27">
        <v>6940.0</v>
      </c>
      <c r="H127" s="27">
        <v>19953.0</v>
      </c>
      <c r="I127" s="26"/>
      <c r="J127" s="19">
        <v>0.0</v>
      </c>
      <c r="K127" s="29">
        <f t="shared" si="1"/>
        <v>68513</v>
      </c>
    </row>
    <row r="128">
      <c r="A128" s="22"/>
      <c r="B128" s="69">
        <v>46084.0</v>
      </c>
      <c r="C128" s="70" t="s">
        <v>34</v>
      </c>
      <c r="D128" s="27">
        <v>23310.0</v>
      </c>
      <c r="E128" s="42">
        <v>29433.0</v>
      </c>
      <c r="F128" s="44"/>
      <c r="G128" s="27">
        <v>8013.0</v>
      </c>
      <c r="H128" s="27">
        <v>27540.0</v>
      </c>
      <c r="I128" s="26"/>
      <c r="J128" s="19">
        <v>0.0</v>
      </c>
      <c r="K128" s="29">
        <f t="shared" si="1"/>
        <v>88296</v>
      </c>
    </row>
    <row r="129">
      <c r="A129" s="22"/>
      <c r="B129" s="69">
        <v>46115.0</v>
      </c>
      <c r="C129" s="70" t="s">
        <v>35</v>
      </c>
      <c r="D129" s="27">
        <v>7451.0</v>
      </c>
      <c r="E129" s="42">
        <v>6420.0</v>
      </c>
      <c r="F129" s="44"/>
      <c r="G129" s="42">
        <v>0.0</v>
      </c>
      <c r="H129" s="27">
        <v>0.0</v>
      </c>
      <c r="I129" s="26"/>
      <c r="J129" s="19">
        <v>0.0</v>
      </c>
      <c r="K129" s="29">
        <f t="shared" si="1"/>
        <v>13871</v>
      </c>
    </row>
    <row r="130">
      <c r="A130" s="22"/>
      <c r="B130" s="69">
        <v>46145.0</v>
      </c>
      <c r="C130" s="70" t="s">
        <v>36</v>
      </c>
      <c r="D130" s="27">
        <v>18994.0</v>
      </c>
      <c r="E130" s="42">
        <v>24290.0</v>
      </c>
      <c r="F130" s="44"/>
      <c r="G130" s="27">
        <v>5086.0</v>
      </c>
      <c r="H130" s="27">
        <v>18424.0</v>
      </c>
      <c r="I130" s="26"/>
      <c r="J130" s="19">
        <v>0.0</v>
      </c>
      <c r="K130" s="29">
        <f t="shared" si="1"/>
        <v>66794</v>
      </c>
    </row>
    <row r="131">
      <c r="A131" s="22"/>
      <c r="B131" s="69">
        <v>46176.0</v>
      </c>
      <c r="C131" s="70" t="s">
        <v>30</v>
      </c>
      <c r="D131" s="27">
        <v>24361.0</v>
      </c>
      <c r="E131" s="42">
        <v>20698.0</v>
      </c>
      <c r="F131" s="44"/>
      <c r="G131" s="27">
        <v>9772.0</v>
      </c>
      <c r="H131" s="27">
        <v>21383.0</v>
      </c>
      <c r="I131" s="26"/>
      <c r="J131" s="19">
        <v>0.0</v>
      </c>
      <c r="K131" s="29">
        <f t="shared" si="1"/>
        <v>76214</v>
      </c>
    </row>
    <row r="132">
      <c r="A132" s="22"/>
      <c r="B132" s="69">
        <v>46206.0</v>
      </c>
      <c r="C132" s="70" t="s">
        <v>29</v>
      </c>
      <c r="D132" s="27">
        <v>48550.0</v>
      </c>
      <c r="E132" s="42">
        <v>53169.0</v>
      </c>
      <c r="F132" s="44"/>
      <c r="G132" s="27">
        <v>16501.0</v>
      </c>
      <c r="H132" s="27">
        <v>41087.0</v>
      </c>
      <c r="I132" s="26"/>
      <c r="J132" s="19">
        <v>0.0</v>
      </c>
      <c r="K132" s="29">
        <f t="shared" si="1"/>
        <v>159307</v>
      </c>
    </row>
    <row r="133">
      <c r="A133" s="22"/>
      <c r="B133" s="69">
        <v>46237.0</v>
      </c>
      <c r="C133" s="70" t="s">
        <v>31</v>
      </c>
      <c r="D133" s="27">
        <v>60015.0</v>
      </c>
      <c r="E133" s="42">
        <v>52477.0</v>
      </c>
      <c r="F133" s="44"/>
      <c r="G133" s="27">
        <v>16316.0</v>
      </c>
      <c r="H133" s="27">
        <v>44902.0</v>
      </c>
      <c r="I133" s="42"/>
      <c r="J133" s="37">
        <v>50795.0</v>
      </c>
      <c r="K133" s="29">
        <f t="shared" si="1"/>
        <v>224505</v>
      </c>
    </row>
    <row r="134">
      <c r="A134" s="22"/>
      <c r="B134" s="69">
        <v>46268.0</v>
      </c>
      <c r="C134" s="70" t="s">
        <v>32</v>
      </c>
      <c r="D134" s="27">
        <v>14321.0</v>
      </c>
      <c r="E134" s="42">
        <v>17383.0</v>
      </c>
      <c r="F134" s="44"/>
      <c r="G134" s="27">
        <v>7370.0</v>
      </c>
      <c r="H134" s="27">
        <v>18154.0</v>
      </c>
      <c r="I134" s="42"/>
      <c r="J134" s="37">
        <v>15260.0</v>
      </c>
      <c r="K134" s="29">
        <f t="shared" si="1"/>
        <v>72488</v>
      </c>
    </row>
    <row r="135">
      <c r="A135" s="22"/>
      <c r="B135" s="69">
        <v>46298.0</v>
      </c>
      <c r="C135" s="70" t="s">
        <v>34</v>
      </c>
      <c r="D135" s="27">
        <v>18291.0</v>
      </c>
      <c r="E135" s="42">
        <v>24286.0</v>
      </c>
      <c r="F135" s="44"/>
      <c r="G135" s="27">
        <v>8208.0</v>
      </c>
      <c r="H135" s="27">
        <v>18334.0</v>
      </c>
      <c r="I135" s="42"/>
      <c r="J135" s="37">
        <v>15625.0</v>
      </c>
      <c r="K135" s="29">
        <f t="shared" si="1"/>
        <v>84744</v>
      </c>
    </row>
    <row r="136">
      <c r="A136" s="22"/>
      <c r="B136" s="69">
        <v>46329.0</v>
      </c>
      <c r="C136" s="70" t="s">
        <v>35</v>
      </c>
      <c r="D136" s="27">
        <v>12694.0</v>
      </c>
      <c r="E136" s="42">
        <v>25829.0</v>
      </c>
      <c r="F136" s="44"/>
      <c r="G136" s="27">
        <v>4963.0</v>
      </c>
      <c r="H136" s="27">
        <v>20425.0</v>
      </c>
      <c r="I136" s="42"/>
      <c r="J136" s="37">
        <v>16385.0</v>
      </c>
      <c r="K136" s="29">
        <f t="shared" si="1"/>
        <v>80296</v>
      </c>
    </row>
    <row r="137">
      <c r="A137" s="22"/>
      <c r="B137" s="69">
        <v>46359.0</v>
      </c>
      <c r="C137" s="70" t="s">
        <v>36</v>
      </c>
      <c r="D137" s="27">
        <v>18291.0</v>
      </c>
      <c r="E137" s="42">
        <v>26938.0</v>
      </c>
      <c r="F137" s="44"/>
      <c r="G137" s="27">
        <v>7775.0</v>
      </c>
      <c r="H137" s="27">
        <v>26397.0</v>
      </c>
      <c r="I137" s="42"/>
      <c r="J137" s="37">
        <v>22810.0</v>
      </c>
      <c r="K137" s="29">
        <f t="shared" si="1"/>
        <v>102211</v>
      </c>
    </row>
    <row r="138">
      <c r="A138" s="22"/>
      <c r="B138" s="71" t="s">
        <v>177</v>
      </c>
      <c r="C138" s="70" t="s">
        <v>30</v>
      </c>
      <c r="D138" s="27">
        <v>20690.0</v>
      </c>
      <c r="E138" s="42">
        <v>43822.0</v>
      </c>
      <c r="F138" s="44"/>
      <c r="G138" s="27">
        <v>7377.0</v>
      </c>
      <c r="H138" s="27">
        <v>29945.0</v>
      </c>
      <c r="I138" s="42"/>
      <c r="J138" s="37">
        <v>35785.0</v>
      </c>
      <c r="K138" s="29">
        <f t="shared" si="1"/>
        <v>137619</v>
      </c>
    </row>
    <row r="139">
      <c r="A139" s="22"/>
      <c r="B139" s="71" t="s">
        <v>179</v>
      </c>
      <c r="C139" s="70" t="s">
        <v>29</v>
      </c>
      <c r="D139" s="27">
        <v>53257.0</v>
      </c>
      <c r="E139" s="42">
        <v>69735.0</v>
      </c>
      <c r="F139" s="44"/>
      <c r="G139" s="27">
        <v>11321.0</v>
      </c>
      <c r="H139" s="27">
        <v>43352.0</v>
      </c>
      <c r="I139" s="42"/>
      <c r="J139" s="37">
        <v>63690.0</v>
      </c>
      <c r="K139" s="29">
        <f t="shared" si="1"/>
        <v>241355</v>
      </c>
    </row>
    <row r="140">
      <c r="A140" s="22"/>
      <c r="B140" s="71" t="s">
        <v>181</v>
      </c>
      <c r="C140" s="70" t="s">
        <v>31</v>
      </c>
      <c r="D140" s="27">
        <v>56299.0</v>
      </c>
      <c r="E140" s="42">
        <v>72446.0</v>
      </c>
      <c r="F140" s="44"/>
      <c r="G140" s="27">
        <v>24736.0</v>
      </c>
      <c r="H140" s="42">
        <v>57474.0</v>
      </c>
      <c r="I140" s="42"/>
      <c r="J140" s="37">
        <v>64650.0</v>
      </c>
      <c r="K140" s="29">
        <f t="shared" si="1"/>
        <v>275605</v>
      </c>
    </row>
    <row r="141">
      <c r="A141" s="22"/>
      <c r="B141" s="71" t="s">
        <v>183</v>
      </c>
      <c r="C141" s="70" t="s">
        <v>32</v>
      </c>
      <c r="D141" s="42">
        <v>19861.0</v>
      </c>
      <c r="E141" s="42">
        <v>28564.0</v>
      </c>
      <c r="F141" s="44"/>
      <c r="G141" s="42">
        <v>5501.0</v>
      </c>
      <c r="H141" s="42">
        <v>18136.0</v>
      </c>
      <c r="I141" s="42"/>
      <c r="J141" s="37">
        <v>17290.0</v>
      </c>
      <c r="K141" s="29">
        <f t="shared" si="1"/>
        <v>89352</v>
      </c>
    </row>
    <row r="142">
      <c r="A142" s="22"/>
      <c r="B142" s="71" t="s">
        <v>185</v>
      </c>
      <c r="C142" s="70" t="s">
        <v>34</v>
      </c>
      <c r="D142" s="42">
        <v>19841.0</v>
      </c>
      <c r="E142" s="42">
        <v>29552.0</v>
      </c>
      <c r="F142" s="44"/>
      <c r="G142" s="42">
        <v>5789.0</v>
      </c>
      <c r="H142" s="42">
        <v>19996.0</v>
      </c>
      <c r="I142" s="42"/>
      <c r="J142" s="37">
        <v>18545.0</v>
      </c>
      <c r="K142" s="29">
        <f t="shared" si="1"/>
        <v>93723</v>
      </c>
    </row>
    <row r="143">
      <c r="A143" s="22"/>
      <c r="B143" s="71" t="s">
        <v>187</v>
      </c>
      <c r="C143" s="70" t="s">
        <v>35</v>
      </c>
      <c r="D143" s="42">
        <v>13820.0</v>
      </c>
      <c r="E143" s="42">
        <v>17411.0</v>
      </c>
      <c r="F143" s="44"/>
      <c r="G143" s="42">
        <v>2343.0</v>
      </c>
      <c r="H143" s="42">
        <v>11629.0</v>
      </c>
      <c r="I143" s="42"/>
      <c r="J143" s="37">
        <v>15155.0</v>
      </c>
      <c r="K143" s="29">
        <f t="shared" si="1"/>
        <v>60358</v>
      </c>
    </row>
    <row r="144">
      <c r="A144" s="22"/>
      <c r="B144" s="71" t="s">
        <v>189</v>
      </c>
      <c r="C144" s="70" t="s">
        <v>36</v>
      </c>
      <c r="D144" s="42">
        <v>10749.0</v>
      </c>
      <c r="E144" s="42">
        <v>24735.0</v>
      </c>
      <c r="F144" s="44"/>
      <c r="G144" s="42">
        <v>3325.0</v>
      </c>
      <c r="H144" s="42">
        <v>14185.0</v>
      </c>
      <c r="I144" s="42"/>
      <c r="J144" s="37">
        <v>9134.0</v>
      </c>
      <c r="K144" s="29">
        <f t="shared" si="1"/>
        <v>62128</v>
      </c>
    </row>
    <row r="145">
      <c r="A145" s="22"/>
      <c r="B145" s="71" t="s">
        <v>191</v>
      </c>
      <c r="C145" s="70" t="s">
        <v>30</v>
      </c>
      <c r="D145" s="42">
        <v>29305.0</v>
      </c>
      <c r="E145" s="42">
        <v>34747.0</v>
      </c>
      <c r="F145" s="44"/>
      <c r="G145" s="42">
        <v>11830.0</v>
      </c>
      <c r="H145" s="42">
        <v>31055.0</v>
      </c>
      <c r="I145" s="42"/>
      <c r="J145" s="37">
        <v>24465.0</v>
      </c>
      <c r="K145" s="29">
        <f t="shared" si="1"/>
        <v>131402</v>
      </c>
    </row>
    <row r="146">
      <c r="A146" s="22"/>
      <c r="B146" s="71" t="s">
        <v>193</v>
      </c>
      <c r="C146" s="70" t="s">
        <v>29</v>
      </c>
      <c r="D146" s="42">
        <v>51454.0</v>
      </c>
      <c r="E146" s="42">
        <v>62691.0</v>
      </c>
      <c r="F146" s="44"/>
      <c r="G146" s="42">
        <v>20977.0</v>
      </c>
      <c r="H146" s="42">
        <v>46148.0</v>
      </c>
      <c r="I146" s="42"/>
      <c r="J146" s="37">
        <v>62713.0</v>
      </c>
      <c r="K146" s="29">
        <f t="shared" si="1"/>
        <v>243983</v>
      </c>
    </row>
    <row r="147">
      <c r="A147" s="22"/>
      <c r="B147" s="71" t="s">
        <v>195</v>
      </c>
      <c r="C147" s="70" t="s">
        <v>31</v>
      </c>
      <c r="D147" s="42">
        <v>57091.0</v>
      </c>
      <c r="E147" s="42">
        <v>63752.0</v>
      </c>
      <c r="F147" s="76"/>
      <c r="G147" s="42">
        <v>23815.0</v>
      </c>
      <c r="H147" s="42">
        <v>47735.0</v>
      </c>
      <c r="I147" s="42"/>
      <c r="J147" s="37">
        <v>71842.0</v>
      </c>
      <c r="K147" s="29">
        <f t="shared" si="1"/>
        <v>264235</v>
      </c>
    </row>
    <row r="148">
      <c r="A148" s="22"/>
      <c r="B148" s="71" t="s">
        <v>197</v>
      </c>
      <c r="C148" s="70" t="s">
        <v>32</v>
      </c>
      <c r="D148" s="42">
        <v>19685.0</v>
      </c>
      <c r="E148" s="42">
        <v>26199.0</v>
      </c>
      <c r="F148" s="76"/>
      <c r="G148" s="42">
        <v>8697.0</v>
      </c>
      <c r="H148" s="42">
        <v>21177.0</v>
      </c>
      <c r="I148" s="42"/>
      <c r="J148" s="37">
        <v>21465.0</v>
      </c>
      <c r="K148" s="29">
        <f t="shared" si="1"/>
        <v>97223</v>
      </c>
    </row>
    <row r="149">
      <c r="A149" s="22"/>
      <c r="B149" s="71" t="s">
        <v>200</v>
      </c>
      <c r="C149" s="70" t="s">
        <v>34</v>
      </c>
      <c r="D149" s="42">
        <v>19726.0</v>
      </c>
      <c r="E149" s="42">
        <v>26632.0</v>
      </c>
      <c r="F149" s="76"/>
      <c r="G149" s="42">
        <v>7635.0</v>
      </c>
      <c r="H149" s="42">
        <v>22172.0</v>
      </c>
      <c r="I149" s="42"/>
      <c r="J149" s="37">
        <v>23805.0</v>
      </c>
      <c r="K149" s="29">
        <f t="shared" si="1"/>
        <v>99970</v>
      </c>
    </row>
    <row r="150">
      <c r="A150" s="22"/>
      <c r="B150" s="71" t="s">
        <v>201</v>
      </c>
      <c r="C150" s="70" t="s">
        <v>35</v>
      </c>
      <c r="D150" s="42">
        <v>17044.0</v>
      </c>
      <c r="E150" s="42">
        <v>29930.0</v>
      </c>
      <c r="F150" s="76"/>
      <c r="G150" s="42">
        <v>7069.0</v>
      </c>
      <c r="H150" s="42">
        <v>25935.0</v>
      </c>
      <c r="I150" s="42"/>
      <c r="J150" s="37">
        <v>15075.0</v>
      </c>
      <c r="K150" s="29">
        <f t="shared" si="1"/>
        <v>95053</v>
      </c>
    </row>
    <row r="151">
      <c r="A151" s="22"/>
      <c r="B151" s="71" t="s">
        <v>204</v>
      </c>
      <c r="C151" s="70" t="s">
        <v>36</v>
      </c>
      <c r="D151" s="42">
        <v>19635.0</v>
      </c>
      <c r="E151" s="42">
        <v>26291.0</v>
      </c>
      <c r="F151" s="76"/>
      <c r="G151" s="42">
        <v>7070.0</v>
      </c>
      <c r="H151" s="42">
        <v>25935.0</v>
      </c>
      <c r="I151" s="42"/>
      <c r="J151" s="37">
        <v>23425.0</v>
      </c>
      <c r="K151" s="29">
        <f t="shared" si="1"/>
        <v>102356</v>
      </c>
    </row>
    <row r="152">
      <c r="A152" s="22"/>
      <c r="B152" s="71" t="s">
        <v>205</v>
      </c>
      <c r="C152" s="70" t="s">
        <v>30</v>
      </c>
      <c r="D152" s="42">
        <v>22067.0</v>
      </c>
      <c r="E152" s="42">
        <v>35960.0</v>
      </c>
      <c r="F152" s="76"/>
      <c r="G152" s="42">
        <v>10327.0</v>
      </c>
      <c r="H152" s="42">
        <v>25961.0</v>
      </c>
      <c r="I152" s="42"/>
      <c r="J152" s="37">
        <v>31810.0</v>
      </c>
      <c r="K152" s="29">
        <f t="shared" si="1"/>
        <v>126125</v>
      </c>
    </row>
    <row r="153">
      <c r="A153" s="22"/>
      <c r="B153" s="71" t="s">
        <v>206</v>
      </c>
      <c r="C153" s="70" t="s">
        <v>29</v>
      </c>
      <c r="D153" s="42">
        <v>44196.0</v>
      </c>
      <c r="E153" s="42">
        <v>63153.0</v>
      </c>
      <c r="F153" s="76"/>
      <c r="G153" s="42">
        <v>21096.0</v>
      </c>
      <c r="H153" s="42">
        <v>50511.0</v>
      </c>
      <c r="I153" s="42"/>
      <c r="J153" s="37">
        <v>63525.0</v>
      </c>
      <c r="K153" s="29">
        <f t="shared" si="1"/>
        <v>242481</v>
      </c>
    </row>
    <row r="154">
      <c r="A154" s="22"/>
      <c r="B154" s="71" t="s">
        <v>207</v>
      </c>
      <c r="C154" s="70" t="s">
        <v>31</v>
      </c>
      <c r="D154" s="42">
        <v>54262.0</v>
      </c>
      <c r="E154" s="42">
        <v>56833.0</v>
      </c>
      <c r="F154" s="76"/>
      <c r="G154" s="42">
        <v>24525.0</v>
      </c>
      <c r="H154" s="42">
        <v>56146.0</v>
      </c>
      <c r="I154" s="42"/>
      <c r="J154" s="37">
        <v>59710.0</v>
      </c>
      <c r="K154" s="29">
        <f t="shared" si="1"/>
        <v>251476</v>
      </c>
    </row>
    <row r="155">
      <c r="A155" s="22"/>
      <c r="B155" s="71" t="s">
        <v>208</v>
      </c>
      <c r="C155" s="70" t="s">
        <v>32</v>
      </c>
      <c r="D155" s="42">
        <v>14427.0</v>
      </c>
      <c r="E155" s="42">
        <v>21998.0</v>
      </c>
      <c r="F155" s="76"/>
      <c r="G155" s="42">
        <v>9713.0</v>
      </c>
      <c r="H155" s="42">
        <v>30195.0</v>
      </c>
      <c r="I155" s="42"/>
      <c r="J155" s="37">
        <v>27865.0</v>
      </c>
      <c r="K155" s="29">
        <f t="shared" si="1"/>
        <v>104198</v>
      </c>
    </row>
    <row r="156">
      <c r="A156" s="22"/>
      <c r="B156" s="71" t="s">
        <v>209</v>
      </c>
      <c r="C156" s="70" t="s">
        <v>34</v>
      </c>
      <c r="D156" s="42">
        <v>19264.0</v>
      </c>
      <c r="E156" s="42">
        <v>28308.0</v>
      </c>
      <c r="F156" s="76"/>
      <c r="G156" s="42">
        <v>6833.0</v>
      </c>
      <c r="H156" s="42">
        <v>29958.0</v>
      </c>
      <c r="I156" s="42"/>
      <c r="J156" s="37">
        <v>19685.0</v>
      </c>
      <c r="K156" s="29">
        <f t="shared" si="1"/>
        <v>104048</v>
      </c>
    </row>
    <row r="157">
      <c r="A157" s="49"/>
      <c r="B157" s="81"/>
      <c r="C157" s="82"/>
      <c r="D157" s="87">
        <v>907179.0</v>
      </c>
      <c r="E157" s="87">
        <v>1107599.0</v>
      </c>
      <c r="F157" s="88"/>
      <c r="G157" s="102">
        <v>334192.0</v>
      </c>
      <c r="H157" s="102">
        <v>915352.0</v>
      </c>
      <c r="I157" s="102"/>
      <c r="J157" s="104">
        <v>790509.0</v>
      </c>
      <c r="K157" s="29">
        <f t="shared" si="1"/>
        <v>4054831</v>
      </c>
    </row>
    <row r="158">
      <c r="A158" s="60" t="s">
        <v>210</v>
      </c>
      <c r="B158" s="69">
        <v>46026.0</v>
      </c>
      <c r="C158" s="70" t="s">
        <v>35</v>
      </c>
      <c r="D158" s="27">
        <v>20410.0</v>
      </c>
      <c r="E158" s="30">
        <v>36232.0</v>
      </c>
      <c r="F158" s="31"/>
      <c r="G158" s="20">
        <v>7547.0</v>
      </c>
      <c r="H158" s="20">
        <v>30434.0</v>
      </c>
      <c r="I158" s="20"/>
      <c r="J158" s="43">
        <v>26795.0</v>
      </c>
      <c r="K158" s="29">
        <f t="shared" si="1"/>
        <v>121418</v>
      </c>
    </row>
    <row r="159">
      <c r="A159" s="22"/>
      <c r="B159" s="69">
        <v>46057.0</v>
      </c>
      <c r="C159" s="70" t="s">
        <v>36</v>
      </c>
      <c r="D159" s="27">
        <v>19108.0</v>
      </c>
      <c r="E159" s="30">
        <v>29149.0</v>
      </c>
      <c r="F159" s="31"/>
      <c r="G159" s="27">
        <v>6614.0</v>
      </c>
      <c r="H159" s="27">
        <v>37468.0</v>
      </c>
      <c r="I159" s="27"/>
      <c r="J159" s="43">
        <v>22560.0</v>
      </c>
      <c r="K159" s="29">
        <f t="shared" si="1"/>
        <v>114899</v>
      </c>
    </row>
    <row r="160">
      <c r="A160" s="22"/>
      <c r="B160" s="69">
        <v>46085.0</v>
      </c>
      <c r="C160" s="70" t="s">
        <v>30</v>
      </c>
      <c r="D160" s="27">
        <v>33784.0</v>
      </c>
      <c r="E160" s="30">
        <v>38528.0</v>
      </c>
      <c r="F160" s="31"/>
      <c r="G160" s="27">
        <v>13282.0</v>
      </c>
      <c r="H160" s="27">
        <v>49106.0</v>
      </c>
      <c r="I160" s="27"/>
      <c r="J160" s="43">
        <v>43210.0</v>
      </c>
      <c r="K160" s="29">
        <f t="shared" si="1"/>
        <v>177910</v>
      </c>
    </row>
    <row r="161">
      <c r="A161" s="22"/>
      <c r="B161" s="69">
        <v>46116.0</v>
      </c>
      <c r="C161" s="70" t="s">
        <v>29</v>
      </c>
      <c r="D161" s="27">
        <v>49620.0</v>
      </c>
      <c r="E161" s="30">
        <v>68180.0</v>
      </c>
      <c r="F161" s="31"/>
      <c r="G161" s="27">
        <v>22818.0</v>
      </c>
      <c r="H161" s="27">
        <v>71046.0</v>
      </c>
      <c r="I161" s="27"/>
      <c r="J161" s="43">
        <v>69065.0</v>
      </c>
      <c r="K161" s="29">
        <f t="shared" si="1"/>
        <v>280729</v>
      </c>
    </row>
    <row r="162">
      <c r="A162" s="22"/>
      <c r="B162" s="69">
        <v>46146.0</v>
      </c>
      <c r="C162" s="70" t="s">
        <v>31</v>
      </c>
      <c r="D162" s="27">
        <v>45201.0</v>
      </c>
      <c r="E162" s="30">
        <v>69445.0</v>
      </c>
      <c r="F162" s="31"/>
      <c r="G162" s="27">
        <v>21950.0</v>
      </c>
      <c r="H162" s="27">
        <v>66061.0</v>
      </c>
      <c r="I162" s="27"/>
      <c r="J162" s="43">
        <v>69610.0</v>
      </c>
      <c r="K162" s="29">
        <f t="shared" si="1"/>
        <v>272267</v>
      </c>
    </row>
    <row r="163">
      <c r="A163" s="22"/>
      <c r="B163" s="69">
        <v>46177.0</v>
      </c>
      <c r="C163" s="70" t="s">
        <v>32</v>
      </c>
      <c r="D163" s="27">
        <v>17061.0</v>
      </c>
      <c r="E163" s="30">
        <v>23625.0</v>
      </c>
      <c r="F163" s="31"/>
      <c r="G163" s="27">
        <v>6364.0</v>
      </c>
      <c r="H163" s="27">
        <v>27420.0</v>
      </c>
      <c r="I163" s="27"/>
      <c r="J163" s="43">
        <v>26410.0</v>
      </c>
      <c r="K163" s="29">
        <f t="shared" si="1"/>
        <v>100880</v>
      </c>
    </row>
    <row r="164">
      <c r="A164" s="22"/>
      <c r="B164" s="69">
        <v>46207.0</v>
      </c>
      <c r="C164" s="70" t="s">
        <v>34</v>
      </c>
      <c r="D164" s="27">
        <v>25771.0</v>
      </c>
      <c r="E164" s="30">
        <v>28249.0</v>
      </c>
      <c r="F164" s="31"/>
      <c r="G164" s="27">
        <v>5798.0</v>
      </c>
      <c r="H164" s="27">
        <v>28705.0</v>
      </c>
      <c r="I164" s="27"/>
      <c r="J164" s="43">
        <v>19210.0</v>
      </c>
      <c r="K164" s="29">
        <f t="shared" si="1"/>
        <v>107733</v>
      </c>
    </row>
    <row r="165">
      <c r="A165" s="22"/>
      <c r="B165" s="69">
        <v>46238.0</v>
      </c>
      <c r="C165" s="70" t="s">
        <v>35</v>
      </c>
      <c r="D165" s="27">
        <v>25003.0</v>
      </c>
      <c r="E165" s="30">
        <v>24105.0</v>
      </c>
      <c r="F165" s="31"/>
      <c r="G165" s="27">
        <v>10678.0</v>
      </c>
      <c r="H165" s="27">
        <v>31677.0</v>
      </c>
      <c r="I165" s="27"/>
      <c r="J165" s="43">
        <v>20705.0</v>
      </c>
      <c r="K165" s="29">
        <f t="shared" si="1"/>
        <v>112168</v>
      </c>
    </row>
    <row r="166">
      <c r="A166" s="22"/>
      <c r="B166" s="69">
        <v>46269.0</v>
      </c>
      <c r="C166" s="70" t="s">
        <v>36</v>
      </c>
      <c r="D166" s="27">
        <v>22257.0</v>
      </c>
      <c r="E166" s="30">
        <v>27086.0</v>
      </c>
      <c r="F166" s="31"/>
      <c r="G166" s="27">
        <v>11677.0</v>
      </c>
      <c r="H166" s="27">
        <v>31589.0</v>
      </c>
      <c r="I166" s="27"/>
      <c r="J166" s="43">
        <v>27515.0</v>
      </c>
      <c r="K166" s="29">
        <f t="shared" si="1"/>
        <v>120124</v>
      </c>
    </row>
    <row r="167">
      <c r="A167" s="22"/>
      <c r="B167" s="69">
        <v>46299.0</v>
      </c>
      <c r="C167" s="70" t="s">
        <v>30</v>
      </c>
      <c r="D167" s="27">
        <v>28234.0</v>
      </c>
      <c r="E167" s="30">
        <v>34204.0</v>
      </c>
      <c r="F167" s="31"/>
      <c r="G167" s="27">
        <v>10701.0</v>
      </c>
      <c r="H167" s="27">
        <v>38222.0</v>
      </c>
      <c r="I167" s="27"/>
      <c r="J167" s="43">
        <v>34280.0</v>
      </c>
      <c r="K167" s="29">
        <f t="shared" si="1"/>
        <v>145641</v>
      </c>
    </row>
    <row r="168">
      <c r="A168" s="22"/>
      <c r="B168" s="69">
        <v>46330.0</v>
      </c>
      <c r="C168" s="70" t="s">
        <v>29</v>
      </c>
      <c r="D168" s="27">
        <v>69978.0</v>
      </c>
      <c r="E168" s="30">
        <v>57753.0</v>
      </c>
      <c r="F168" s="31"/>
      <c r="G168" s="27">
        <v>23666.0</v>
      </c>
      <c r="H168" s="27">
        <v>75071.0</v>
      </c>
      <c r="I168" s="27"/>
      <c r="J168" s="43">
        <v>62560.0</v>
      </c>
      <c r="K168" s="29">
        <f t="shared" si="1"/>
        <v>289028</v>
      </c>
    </row>
    <row r="169">
      <c r="A169" s="22"/>
      <c r="B169" s="69">
        <v>46360.0</v>
      </c>
      <c r="C169" s="70" t="s">
        <v>31</v>
      </c>
      <c r="D169" s="27">
        <v>59045.0</v>
      </c>
      <c r="E169" s="30">
        <v>60182.0</v>
      </c>
      <c r="F169" s="31"/>
      <c r="G169" s="27">
        <v>19282.0</v>
      </c>
      <c r="H169" s="27">
        <v>62318.0</v>
      </c>
      <c r="I169" s="27"/>
      <c r="J169" s="43">
        <v>65185.0</v>
      </c>
      <c r="K169" s="29">
        <f t="shared" si="1"/>
        <v>266012</v>
      </c>
    </row>
    <row r="170">
      <c r="A170" s="22"/>
      <c r="B170" s="71" t="s">
        <v>211</v>
      </c>
      <c r="C170" s="70" t="s">
        <v>32</v>
      </c>
      <c r="D170" s="27">
        <v>20975.0</v>
      </c>
      <c r="E170" s="30">
        <v>18933.0</v>
      </c>
      <c r="F170" s="31"/>
      <c r="G170" s="27">
        <v>7230.0</v>
      </c>
      <c r="H170" s="27">
        <v>26065.0</v>
      </c>
      <c r="I170" s="27"/>
      <c r="J170" s="43">
        <v>17520.0</v>
      </c>
      <c r="K170" s="29">
        <f t="shared" si="1"/>
        <v>90723</v>
      </c>
    </row>
    <row r="171">
      <c r="A171" s="22"/>
      <c r="B171" s="71" t="s">
        <v>212</v>
      </c>
      <c r="C171" s="70" t="s">
        <v>34</v>
      </c>
      <c r="D171" s="27">
        <v>29300.0</v>
      </c>
      <c r="E171" s="30">
        <v>40097.0</v>
      </c>
      <c r="F171" s="31"/>
      <c r="G171" s="27">
        <v>10516.0</v>
      </c>
      <c r="H171" s="27">
        <v>36248.0</v>
      </c>
      <c r="I171" s="27"/>
      <c r="J171" s="43">
        <v>29105.0</v>
      </c>
      <c r="K171" s="29">
        <f t="shared" si="1"/>
        <v>145266</v>
      </c>
    </row>
    <row r="172">
      <c r="A172" s="22"/>
      <c r="B172" s="71" t="s">
        <v>213</v>
      </c>
      <c r="C172" s="70" t="s">
        <v>35</v>
      </c>
      <c r="D172" s="27">
        <v>25112.0</v>
      </c>
      <c r="E172" s="30">
        <v>16059.0</v>
      </c>
      <c r="F172" s="31"/>
      <c r="G172" s="27">
        <v>10300.0</v>
      </c>
      <c r="H172" s="27">
        <v>24464.0</v>
      </c>
      <c r="I172" s="27"/>
      <c r="J172" s="43">
        <v>19180.0</v>
      </c>
      <c r="K172" s="29">
        <f t="shared" si="1"/>
        <v>95115</v>
      </c>
    </row>
    <row r="173">
      <c r="A173" s="22"/>
      <c r="B173" s="71" t="s">
        <v>214</v>
      </c>
      <c r="C173" s="70" t="s">
        <v>36</v>
      </c>
      <c r="D173" s="42">
        <v>16309.0</v>
      </c>
      <c r="E173" s="30">
        <v>27736.0</v>
      </c>
      <c r="F173" s="31"/>
      <c r="G173" s="27">
        <v>3671.0</v>
      </c>
      <c r="H173" s="27">
        <v>22601.0</v>
      </c>
      <c r="I173" s="27"/>
      <c r="J173" s="43">
        <v>16890.0</v>
      </c>
      <c r="K173" s="29">
        <f t="shared" si="1"/>
        <v>87207</v>
      </c>
    </row>
    <row r="174">
      <c r="A174" s="22"/>
      <c r="B174" s="71" t="s">
        <v>215</v>
      </c>
      <c r="C174" s="70" t="s">
        <v>30</v>
      </c>
      <c r="D174" s="42">
        <v>20676.0</v>
      </c>
      <c r="E174" s="30">
        <v>18097.0</v>
      </c>
      <c r="F174" s="31"/>
      <c r="G174" s="27">
        <v>6227.0</v>
      </c>
      <c r="H174" s="27">
        <v>27097.0</v>
      </c>
      <c r="I174" s="27"/>
      <c r="J174" s="43">
        <v>13120.0</v>
      </c>
      <c r="K174" s="29">
        <f t="shared" si="1"/>
        <v>85217</v>
      </c>
    </row>
    <row r="175">
      <c r="A175" s="22"/>
      <c r="B175" s="71" t="s">
        <v>216</v>
      </c>
      <c r="C175" s="70" t="s">
        <v>29</v>
      </c>
      <c r="D175" s="42">
        <v>47678.0</v>
      </c>
      <c r="E175" s="30">
        <v>57265.0</v>
      </c>
      <c r="F175" s="31"/>
      <c r="G175" s="27">
        <v>14449.0</v>
      </c>
      <c r="H175" s="27">
        <v>51813.0</v>
      </c>
      <c r="I175" s="27"/>
      <c r="J175" s="43">
        <v>36480.0</v>
      </c>
      <c r="K175" s="29">
        <f t="shared" si="1"/>
        <v>207685</v>
      </c>
    </row>
    <row r="176">
      <c r="A176" s="22"/>
      <c r="B176" s="71" t="s">
        <v>217</v>
      </c>
      <c r="C176" s="70" t="s">
        <v>31</v>
      </c>
      <c r="D176" s="42">
        <v>72731.0</v>
      </c>
      <c r="E176" s="30">
        <v>64937.0</v>
      </c>
      <c r="F176" s="31"/>
      <c r="G176" s="27">
        <v>19274.0</v>
      </c>
      <c r="H176" s="27">
        <v>57274.0</v>
      </c>
      <c r="I176" s="27"/>
      <c r="J176" s="43">
        <v>57760.0</v>
      </c>
      <c r="K176" s="29">
        <f t="shared" si="1"/>
        <v>271976</v>
      </c>
    </row>
    <row r="177">
      <c r="A177" s="22"/>
      <c r="B177" s="71" t="s">
        <v>218</v>
      </c>
      <c r="C177" s="70" t="s">
        <v>32</v>
      </c>
      <c r="D177" s="42">
        <v>20771.0</v>
      </c>
      <c r="E177" s="30">
        <v>25428.0</v>
      </c>
      <c r="F177" s="31"/>
      <c r="G177" s="27">
        <v>5332.0</v>
      </c>
      <c r="H177" s="27">
        <v>22848.0</v>
      </c>
      <c r="I177" s="27"/>
      <c r="J177" s="43">
        <v>16735.0</v>
      </c>
      <c r="K177" s="29">
        <f t="shared" si="1"/>
        <v>91114</v>
      </c>
    </row>
    <row r="178">
      <c r="A178" s="22"/>
      <c r="B178" s="71" t="s">
        <v>219</v>
      </c>
      <c r="C178" s="70" t="s">
        <v>34</v>
      </c>
      <c r="D178" s="42">
        <v>22049.0</v>
      </c>
      <c r="E178" s="30">
        <v>22126.0</v>
      </c>
      <c r="F178" s="31"/>
      <c r="G178" s="27">
        <v>7189.0</v>
      </c>
      <c r="H178" s="27">
        <v>25518.0</v>
      </c>
      <c r="I178" s="27"/>
      <c r="J178" s="43">
        <v>18850.0</v>
      </c>
      <c r="K178" s="29">
        <f t="shared" si="1"/>
        <v>95732</v>
      </c>
    </row>
    <row r="179">
      <c r="A179" s="22"/>
      <c r="B179" s="71" t="s">
        <v>220</v>
      </c>
      <c r="C179" s="70" t="s">
        <v>35</v>
      </c>
      <c r="D179" s="42">
        <v>17858.0</v>
      </c>
      <c r="E179" s="30">
        <v>19663.0</v>
      </c>
      <c r="F179" s="120"/>
      <c r="G179" s="27">
        <v>4719.0</v>
      </c>
      <c r="H179" s="27">
        <v>23833.0</v>
      </c>
      <c r="I179" s="27"/>
      <c r="J179" s="43">
        <v>13410.0</v>
      </c>
      <c r="K179" s="29">
        <f t="shared" si="1"/>
        <v>79483</v>
      </c>
    </row>
    <row r="180">
      <c r="A180" s="22"/>
      <c r="B180" s="71" t="s">
        <v>221</v>
      </c>
      <c r="C180" s="70" t="s">
        <v>36</v>
      </c>
      <c r="D180" s="42">
        <v>20055.0</v>
      </c>
      <c r="E180" s="30">
        <v>24298.0</v>
      </c>
      <c r="F180" s="120"/>
      <c r="G180" s="27">
        <v>7081.0</v>
      </c>
      <c r="H180" s="27">
        <v>23348.0</v>
      </c>
      <c r="I180" s="27"/>
      <c r="J180" s="43">
        <v>14370.0</v>
      </c>
      <c r="K180" s="29">
        <f t="shared" si="1"/>
        <v>89152</v>
      </c>
    </row>
    <row r="181">
      <c r="A181" s="22"/>
      <c r="B181" s="71" t="s">
        <v>222</v>
      </c>
      <c r="C181" s="70" t="s">
        <v>30</v>
      </c>
      <c r="D181" s="117">
        <v>18620.0</v>
      </c>
      <c r="E181" s="30">
        <v>29360.0</v>
      </c>
      <c r="F181" s="120"/>
      <c r="G181" s="27">
        <v>6592.0</v>
      </c>
      <c r="H181" s="27">
        <v>28502.0</v>
      </c>
      <c r="I181" s="27"/>
      <c r="J181" s="43">
        <v>16480.0</v>
      </c>
      <c r="K181" s="29">
        <f t="shared" si="1"/>
        <v>99554</v>
      </c>
    </row>
    <row r="182">
      <c r="A182" s="22"/>
      <c r="B182" s="71" t="s">
        <v>223</v>
      </c>
      <c r="C182" s="107" t="s">
        <v>29</v>
      </c>
      <c r="D182" s="33">
        <v>34685.0</v>
      </c>
      <c r="E182" s="30">
        <v>54568.0</v>
      </c>
      <c r="F182" s="120"/>
      <c r="G182" s="27">
        <v>11807.0</v>
      </c>
      <c r="H182" s="27">
        <v>51788.0</v>
      </c>
      <c r="I182" s="27"/>
      <c r="J182" s="43">
        <v>35355.0</v>
      </c>
      <c r="K182" s="29">
        <f t="shared" si="1"/>
        <v>188203</v>
      </c>
    </row>
    <row r="183">
      <c r="A183" s="22"/>
      <c r="B183" s="71" t="s">
        <v>224</v>
      </c>
      <c r="C183" s="107" t="s">
        <v>31</v>
      </c>
      <c r="D183" s="122">
        <v>46164.0</v>
      </c>
      <c r="E183" s="30">
        <v>55857.0</v>
      </c>
      <c r="F183" s="120"/>
      <c r="G183" s="27">
        <v>14969.0</v>
      </c>
      <c r="H183" s="27">
        <v>51901.0</v>
      </c>
      <c r="I183" s="27"/>
      <c r="J183" s="43">
        <v>45655.0</v>
      </c>
      <c r="K183" s="29">
        <f t="shared" si="1"/>
        <v>214546</v>
      </c>
    </row>
    <row r="184">
      <c r="A184" s="22"/>
      <c r="B184" s="71" t="s">
        <v>225</v>
      </c>
      <c r="C184" s="107" t="s">
        <v>32</v>
      </c>
      <c r="D184" s="122">
        <v>12962.0</v>
      </c>
      <c r="E184" s="30">
        <v>15403.0</v>
      </c>
      <c r="F184" s="120"/>
      <c r="G184" s="27">
        <v>4181.0</v>
      </c>
      <c r="H184" s="27">
        <v>17061.0</v>
      </c>
      <c r="I184" s="27"/>
      <c r="J184" s="43">
        <v>10566.0</v>
      </c>
      <c r="K184" s="29">
        <f t="shared" si="1"/>
        <v>60173</v>
      </c>
    </row>
    <row r="185">
      <c r="A185" s="22"/>
      <c r="B185" s="71" t="s">
        <v>226</v>
      </c>
      <c r="C185" s="107" t="s">
        <v>34</v>
      </c>
      <c r="D185" s="122">
        <v>14526.0</v>
      </c>
      <c r="E185" s="30">
        <v>24416.0</v>
      </c>
      <c r="F185" s="120"/>
      <c r="G185" s="27">
        <v>5542.0</v>
      </c>
      <c r="H185" s="27">
        <v>21347.0</v>
      </c>
      <c r="I185" s="27"/>
      <c r="J185" s="43">
        <v>13800.0</v>
      </c>
      <c r="K185" s="29">
        <f t="shared" si="1"/>
        <v>79631</v>
      </c>
    </row>
    <row r="186">
      <c r="A186" s="22"/>
      <c r="B186" s="71" t="s">
        <v>227</v>
      </c>
      <c r="C186" s="107" t="s">
        <v>31</v>
      </c>
      <c r="D186" s="122">
        <v>19820.0</v>
      </c>
      <c r="E186" s="30">
        <v>14273.0</v>
      </c>
      <c r="F186" s="120"/>
      <c r="G186" s="27">
        <v>8125.0</v>
      </c>
      <c r="H186" s="27">
        <v>26685.0</v>
      </c>
      <c r="I186" s="27"/>
      <c r="J186" s="43">
        <v>23675.0</v>
      </c>
      <c r="K186" s="29">
        <f t="shared" si="1"/>
        <v>92578</v>
      </c>
    </row>
    <row r="187">
      <c r="A187" s="22"/>
      <c r="B187" s="71" t="s">
        <v>228</v>
      </c>
      <c r="C187" s="107" t="s">
        <v>32</v>
      </c>
      <c r="D187" s="122">
        <v>21931.0</v>
      </c>
      <c r="E187" s="30">
        <v>27150.0</v>
      </c>
      <c r="F187" s="120"/>
      <c r="G187" s="27">
        <v>8132.0</v>
      </c>
      <c r="H187" s="27">
        <v>32566.0</v>
      </c>
      <c r="I187" s="27"/>
      <c r="J187" s="43">
        <v>26005.0</v>
      </c>
      <c r="K187" s="29">
        <f t="shared" si="1"/>
        <v>115784</v>
      </c>
    </row>
    <row r="188">
      <c r="A188" s="22"/>
      <c r="B188" s="109"/>
      <c r="C188" s="110"/>
      <c r="D188" s="120"/>
      <c r="E188" s="92"/>
      <c r="F188" s="120"/>
      <c r="G188" s="76"/>
      <c r="H188" s="76"/>
      <c r="I188" s="76"/>
      <c r="J188" s="108"/>
      <c r="K188" s="29">
        <f t="shared" si="1"/>
        <v>0</v>
      </c>
    </row>
    <row r="189">
      <c r="A189" s="49"/>
      <c r="B189" s="78"/>
      <c r="C189" s="79"/>
      <c r="D189" s="123" t="s">
        <v>229</v>
      </c>
      <c r="E189" s="123" t="s">
        <v>230</v>
      </c>
      <c r="F189" s="123">
        <v>0.0</v>
      </c>
      <c r="G189" s="123" t="s">
        <v>231</v>
      </c>
      <c r="H189" s="123" t="s">
        <v>232</v>
      </c>
      <c r="I189" s="124"/>
      <c r="J189" s="125" t="s">
        <v>233</v>
      </c>
      <c r="K189" s="29">
        <f>SUM(K158:K188)</f>
        <v>4297948</v>
      </c>
    </row>
    <row r="190">
      <c r="A190" s="60" t="s">
        <v>27</v>
      </c>
      <c r="B190" s="69">
        <v>46027.0</v>
      </c>
      <c r="C190" s="70" t="s">
        <v>30</v>
      </c>
      <c r="D190" s="42">
        <v>31968.0</v>
      </c>
      <c r="E190" s="30">
        <v>47750.0</v>
      </c>
      <c r="F190" s="126">
        <v>3822.0</v>
      </c>
      <c r="G190" s="122">
        <v>12581.0</v>
      </c>
      <c r="H190" s="127">
        <v>51997.0</v>
      </c>
      <c r="I190" s="42"/>
      <c r="J190" s="37">
        <v>38765.0</v>
      </c>
      <c r="K190" s="29">
        <f t="shared" ref="K190:K348" si="2">SUM(D190:J190)</f>
        <v>186883</v>
      </c>
    </row>
    <row r="191">
      <c r="A191" s="22"/>
      <c r="B191" s="69">
        <v>46058.0</v>
      </c>
      <c r="C191" s="70" t="s">
        <v>29</v>
      </c>
      <c r="D191" s="42">
        <v>32032.0</v>
      </c>
      <c r="E191" s="30">
        <v>60284.0</v>
      </c>
      <c r="F191" s="129">
        <v>4685.0</v>
      </c>
      <c r="G191" s="122">
        <v>14060.0</v>
      </c>
      <c r="H191" s="127">
        <v>50465.0</v>
      </c>
      <c r="I191" s="42"/>
      <c r="J191" s="37">
        <v>50055.0</v>
      </c>
      <c r="K191" s="29">
        <f t="shared" si="2"/>
        <v>211581</v>
      </c>
    </row>
    <row r="192">
      <c r="A192" s="22"/>
      <c r="B192" s="69">
        <v>46086.0</v>
      </c>
      <c r="C192" s="70" t="s">
        <v>31</v>
      </c>
      <c r="D192" s="42">
        <v>37446.0</v>
      </c>
      <c r="E192" s="30">
        <v>62780.0</v>
      </c>
      <c r="F192" s="129">
        <v>5765.0</v>
      </c>
      <c r="G192" s="122">
        <v>24817.0</v>
      </c>
      <c r="H192" s="127">
        <v>64061.0</v>
      </c>
      <c r="I192" s="42"/>
      <c r="J192" s="37">
        <v>54135.0</v>
      </c>
      <c r="K192" s="29">
        <f t="shared" si="2"/>
        <v>249004</v>
      </c>
    </row>
    <row r="193">
      <c r="A193" s="22"/>
      <c r="B193" s="69">
        <v>46117.0</v>
      </c>
      <c r="C193" s="70" t="s">
        <v>32</v>
      </c>
      <c r="D193" s="42">
        <v>18173.0</v>
      </c>
      <c r="E193" s="30">
        <v>18963.0</v>
      </c>
      <c r="F193" s="129">
        <v>1081.0</v>
      </c>
      <c r="G193" s="122">
        <v>8598.0</v>
      </c>
      <c r="H193" s="127">
        <v>26903.0</v>
      </c>
      <c r="I193" s="42"/>
      <c r="J193" s="37">
        <v>20440.0</v>
      </c>
      <c r="K193" s="29">
        <f t="shared" si="2"/>
        <v>94158</v>
      </c>
    </row>
    <row r="194">
      <c r="A194" s="22"/>
      <c r="B194" s="69">
        <v>46147.0</v>
      </c>
      <c r="C194" s="70" t="s">
        <v>34</v>
      </c>
      <c r="D194" s="42">
        <v>17875.0</v>
      </c>
      <c r="E194" s="30">
        <v>25447.0</v>
      </c>
      <c r="F194" s="129">
        <v>2550.0</v>
      </c>
      <c r="G194" s="122">
        <v>4418.0</v>
      </c>
      <c r="H194" s="127">
        <v>22290.0</v>
      </c>
      <c r="I194" s="42"/>
      <c r="J194" s="37">
        <v>18525.0</v>
      </c>
      <c r="K194" s="29">
        <f t="shared" si="2"/>
        <v>91105</v>
      </c>
    </row>
    <row r="195">
      <c r="A195" s="22"/>
      <c r="B195" s="69">
        <v>46178.0</v>
      </c>
      <c r="C195" s="70" t="s">
        <v>35</v>
      </c>
      <c r="D195" s="42">
        <v>23189.0</v>
      </c>
      <c r="E195" s="30">
        <v>19772.0</v>
      </c>
      <c r="F195" s="129">
        <v>3643.0</v>
      </c>
      <c r="G195" s="130">
        <v>7128.0</v>
      </c>
      <c r="H195" s="127">
        <v>25180.0</v>
      </c>
      <c r="I195" s="42"/>
      <c r="J195" s="37">
        <v>15545.0</v>
      </c>
      <c r="K195" s="29">
        <f t="shared" si="2"/>
        <v>94457</v>
      </c>
    </row>
    <row r="196">
      <c r="A196" s="22"/>
      <c r="B196" s="69">
        <v>46208.0</v>
      </c>
      <c r="C196" s="70" t="s">
        <v>36</v>
      </c>
      <c r="D196" s="42">
        <v>21420.0</v>
      </c>
      <c r="E196" s="30">
        <v>24322.0</v>
      </c>
      <c r="F196" s="129">
        <v>4337.0</v>
      </c>
      <c r="G196" s="130">
        <v>11501.0</v>
      </c>
      <c r="H196" s="127">
        <v>28926.0</v>
      </c>
      <c r="I196" s="42"/>
      <c r="J196" s="37">
        <v>25090.0</v>
      </c>
      <c r="K196" s="29">
        <f t="shared" si="2"/>
        <v>115596</v>
      </c>
    </row>
    <row r="197">
      <c r="A197" s="22"/>
      <c r="B197" s="69">
        <v>46239.0</v>
      </c>
      <c r="C197" s="70" t="s">
        <v>30</v>
      </c>
      <c r="D197" s="42">
        <v>33178.0</v>
      </c>
      <c r="E197" s="30">
        <v>30766.0</v>
      </c>
      <c r="F197" s="129">
        <v>5734.0</v>
      </c>
      <c r="G197" s="130">
        <v>9611.0</v>
      </c>
      <c r="H197" s="127">
        <v>31047.0</v>
      </c>
      <c r="I197" s="42"/>
      <c r="J197" s="37">
        <v>25979.0</v>
      </c>
      <c r="K197" s="29">
        <f t="shared" si="2"/>
        <v>136315</v>
      </c>
    </row>
    <row r="198">
      <c r="A198" s="22"/>
      <c r="B198" s="69">
        <v>46270.0</v>
      </c>
      <c r="C198" s="70" t="s">
        <v>29</v>
      </c>
      <c r="D198" s="42">
        <v>65537.0</v>
      </c>
      <c r="E198" s="30">
        <v>63259.0</v>
      </c>
      <c r="F198" s="129">
        <v>11392.0</v>
      </c>
      <c r="G198" s="130">
        <v>18470.0</v>
      </c>
      <c r="H198" s="127">
        <v>54019.0</v>
      </c>
      <c r="I198" s="42"/>
      <c r="J198" s="37">
        <v>50020.0</v>
      </c>
      <c r="K198" s="29">
        <f t="shared" si="2"/>
        <v>262697</v>
      </c>
    </row>
    <row r="199">
      <c r="A199" s="22"/>
      <c r="B199" s="69">
        <v>46300.0</v>
      </c>
      <c r="C199" s="70" t="s">
        <v>31</v>
      </c>
      <c r="D199" s="42">
        <v>70585.0</v>
      </c>
      <c r="E199" s="30">
        <v>69080.0</v>
      </c>
      <c r="F199" s="129">
        <v>16351.0</v>
      </c>
      <c r="G199" s="130">
        <v>17554.0</v>
      </c>
      <c r="H199" s="127">
        <v>57330.0</v>
      </c>
      <c r="I199" s="42"/>
      <c r="J199" s="37">
        <v>62860.0</v>
      </c>
      <c r="K199" s="29">
        <f t="shared" si="2"/>
        <v>293760</v>
      </c>
    </row>
    <row r="200">
      <c r="A200" s="22"/>
      <c r="B200" s="69">
        <v>46331.0</v>
      </c>
      <c r="C200" s="70" t="s">
        <v>32</v>
      </c>
      <c r="D200" s="42">
        <v>20088.0</v>
      </c>
      <c r="E200" s="30">
        <v>27402.0</v>
      </c>
      <c r="F200" s="129">
        <v>4408.0</v>
      </c>
      <c r="G200" s="130">
        <v>4836.0</v>
      </c>
      <c r="H200" s="127">
        <v>20602.0</v>
      </c>
      <c r="I200" s="42"/>
      <c r="J200" s="37">
        <v>19395.0</v>
      </c>
      <c r="K200" s="29">
        <f t="shared" si="2"/>
        <v>96731</v>
      </c>
    </row>
    <row r="201">
      <c r="A201" s="22"/>
      <c r="B201" s="69">
        <v>46361.0</v>
      </c>
      <c r="C201" s="70" t="s">
        <v>34</v>
      </c>
      <c r="D201" s="42">
        <v>20297.0</v>
      </c>
      <c r="E201" s="30">
        <v>18635.0</v>
      </c>
      <c r="F201" s="129">
        <v>4154.0</v>
      </c>
      <c r="G201" s="130">
        <v>6147.0</v>
      </c>
      <c r="H201" s="127">
        <v>20909.0</v>
      </c>
      <c r="I201" s="42"/>
      <c r="J201" s="37">
        <v>14830.0</v>
      </c>
      <c r="K201" s="29">
        <f t="shared" si="2"/>
        <v>84972</v>
      </c>
    </row>
    <row r="202">
      <c r="A202" s="22"/>
      <c r="B202" s="71" t="s">
        <v>45</v>
      </c>
      <c r="C202" s="70" t="s">
        <v>35</v>
      </c>
      <c r="D202" s="42">
        <v>19398.0</v>
      </c>
      <c r="E202" s="30">
        <v>11976.0</v>
      </c>
      <c r="F202" s="129">
        <v>8558.0</v>
      </c>
      <c r="G202" s="130">
        <v>6550.0</v>
      </c>
      <c r="H202" s="127">
        <v>23534.0</v>
      </c>
      <c r="I202" s="42"/>
      <c r="J202" s="37">
        <v>18705.0</v>
      </c>
      <c r="K202" s="29">
        <f t="shared" si="2"/>
        <v>88721</v>
      </c>
    </row>
    <row r="203">
      <c r="A203" s="22"/>
      <c r="B203" s="71" t="s">
        <v>47</v>
      </c>
      <c r="C203" s="70" t="s">
        <v>36</v>
      </c>
      <c r="D203" s="42">
        <v>27643.0</v>
      </c>
      <c r="E203" s="30">
        <v>19004.0</v>
      </c>
      <c r="F203" s="129">
        <v>10173.0</v>
      </c>
      <c r="G203" s="130">
        <v>4902.0</v>
      </c>
      <c r="H203" s="127">
        <v>25910.0</v>
      </c>
      <c r="I203" s="42"/>
      <c r="J203" s="37">
        <v>19585.0</v>
      </c>
      <c r="K203" s="29">
        <f t="shared" si="2"/>
        <v>107217</v>
      </c>
    </row>
    <row r="204">
      <c r="A204" s="22"/>
      <c r="B204" s="71" t="s">
        <v>49</v>
      </c>
      <c r="C204" s="70" t="s">
        <v>30</v>
      </c>
      <c r="D204" s="42">
        <v>30756.0</v>
      </c>
      <c r="E204" s="42">
        <v>32041.0</v>
      </c>
      <c r="F204" s="80">
        <v>13238.0</v>
      </c>
      <c r="G204" s="130">
        <v>6752.0</v>
      </c>
      <c r="H204" s="127">
        <v>22222.0</v>
      </c>
      <c r="I204" s="42"/>
      <c r="J204" s="37">
        <v>17209.0</v>
      </c>
      <c r="K204" s="29">
        <f t="shared" si="2"/>
        <v>122218</v>
      </c>
    </row>
    <row r="205">
      <c r="A205" s="22"/>
      <c r="B205" s="71" t="s">
        <v>51</v>
      </c>
      <c r="C205" s="70" t="s">
        <v>29</v>
      </c>
      <c r="D205" s="42">
        <v>37660.0</v>
      </c>
      <c r="E205" s="42">
        <v>51298.0</v>
      </c>
      <c r="F205" s="80">
        <v>18875.0</v>
      </c>
      <c r="G205" s="130">
        <v>10461.0</v>
      </c>
      <c r="H205" s="127">
        <v>39562.0</v>
      </c>
      <c r="I205" s="42"/>
      <c r="J205" s="37">
        <v>41040.0</v>
      </c>
      <c r="K205" s="29">
        <f t="shared" si="2"/>
        <v>198896</v>
      </c>
    </row>
    <row r="206">
      <c r="A206" s="22"/>
      <c r="B206" s="71" t="s">
        <v>54</v>
      </c>
      <c r="C206" s="70" t="s">
        <v>31</v>
      </c>
      <c r="D206" s="42">
        <v>51773.0</v>
      </c>
      <c r="E206" s="42">
        <v>66178.0</v>
      </c>
      <c r="F206" s="80">
        <v>33229.0</v>
      </c>
      <c r="G206" s="130">
        <v>15234.0</v>
      </c>
      <c r="H206" s="127">
        <v>53106.0</v>
      </c>
      <c r="I206" s="42"/>
      <c r="J206" s="37">
        <v>44380.0</v>
      </c>
      <c r="K206" s="29">
        <f t="shared" si="2"/>
        <v>263900</v>
      </c>
    </row>
    <row r="207">
      <c r="A207" s="22"/>
      <c r="B207" s="71" t="s">
        <v>57</v>
      </c>
      <c r="C207" s="70" t="s">
        <v>32</v>
      </c>
      <c r="D207" s="42">
        <v>23718.0</v>
      </c>
      <c r="E207" s="42">
        <v>12647.0</v>
      </c>
      <c r="F207" s="80">
        <v>9859.0</v>
      </c>
      <c r="G207" s="63">
        <v>3484.0</v>
      </c>
      <c r="H207" s="127">
        <v>17519.0</v>
      </c>
      <c r="I207" s="42"/>
      <c r="J207" s="37">
        <v>10909.0</v>
      </c>
      <c r="K207" s="29">
        <f t="shared" si="2"/>
        <v>78136</v>
      </c>
    </row>
    <row r="208">
      <c r="A208" s="22"/>
      <c r="B208" s="71" t="s">
        <v>61</v>
      </c>
      <c r="C208" s="70" t="s">
        <v>34</v>
      </c>
      <c r="D208" s="42">
        <v>20481.0</v>
      </c>
      <c r="E208" s="42">
        <v>16926.0</v>
      </c>
      <c r="F208" s="46">
        <v>12449.0</v>
      </c>
      <c r="G208" s="47">
        <v>2739.0</v>
      </c>
      <c r="H208" s="131">
        <v>17914.0</v>
      </c>
      <c r="I208" s="42"/>
      <c r="J208" s="37">
        <v>11535.0</v>
      </c>
      <c r="K208" s="29">
        <f t="shared" si="2"/>
        <v>82044</v>
      </c>
    </row>
    <row r="209">
      <c r="A209" s="22"/>
      <c r="B209" s="71" t="s">
        <v>63</v>
      </c>
      <c r="C209" s="70" t="s">
        <v>35</v>
      </c>
      <c r="D209" s="42">
        <v>21715.0</v>
      </c>
      <c r="E209" s="42">
        <v>16781.0</v>
      </c>
      <c r="F209" s="46">
        <v>9007.0</v>
      </c>
      <c r="G209" s="47">
        <v>4764.0</v>
      </c>
      <c r="H209" s="131">
        <v>19585.0</v>
      </c>
      <c r="I209" s="42"/>
      <c r="J209" s="37">
        <v>12685.0</v>
      </c>
      <c r="K209" s="29">
        <f t="shared" si="2"/>
        <v>84537</v>
      </c>
    </row>
    <row r="210">
      <c r="A210" s="22"/>
      <c r="B210" s="71" t="s">
        <v>73</v>
      </c>
      <c r="C210" s="70" t="s">
        <v>36</v>
      </c>
      <c r="D210" s="131">
        <v>21232.0</v>
      </c>
      <c r="E210" s="131">
        <v>22698.0</v>
      </c>
      <c r="F210" s="46">
        <v>9846.0</v>
      </c>
      <c r="G210" s="47">
        <v>7285.0</v>
      </c>
      <c r="H210" s="131">
        <v>24561.0</v>
      </c>
      <c r="I210" s="42"/>
      <c r="J210" s="37">
        <v>19640.0</v>
      </c>
      <c r="K210" s="29">
        <f t="shared" si="2"/>
        <v>105262</v>
      </c>
    </row>
    <row r="211">
      <c r="A211" s="22"/>
      <c r="B211" s="71" t="s">
        <v>77</v>
      </c>
      <c r="C211" s="70" t="s">
        <v>30</v>
      </c>
      <c r="D211" s="131">
        <v>27158.0</v>
      </c>
      <c r="E211" s="131">
        <v>19407.0</v>
      </c>
      <c r="F211" s="46">
        <v>15182.0</v>
      </c>
      <c r="G211" s="47">
        <v>7305.0</v>
      </c>
      <c r="H211" s="131">
        <v>23914.0</v>
      </c>
      <c r="I211" s="132"/>
      <c r="J211" s="51">
        <v>21385.0</v>
      </c>
      <c r="K211" s="29">
        <f t="shared" si="2"/>
        <v>114351</v>
      </c>
    </row>
    <row r="212">
      <c r="A212" s="22"/>
      <c r="B212" s="71" t="s">
        <v>79</v>
      </c>
      <c r="C212" s="70" t="s">
        <v>29</v>
      </c>
      <c r="D212" s="131">
        <v>51116.0</v>
      </c>
      <c r="E212" s="131">
        <v>48804.0</v>
      </c>
      <c r="F212" s="46">
        <v>25701.0</v>
      </c>
      <c r="G212" s="47">
        <v>14772.95</v>
      </c>
      <c r="H212" s="132">
        <v>45027.0</v>
      </c>
      <c r="I212" s="132"/>
      <c r="J212" s="51">
        <v>37430.0</v>
      </c>
      <c r="K212" s="55">
        <f t="shared" si="2"/>
        <v>222850.95</v>
      </c>
    </row>
    <row r="213">
      <c r="A213" s="22"/>
      <c r="B213" s="71" t="s">
        <v>84</v>
      </c>
      <c r="C213" s="70" t="s">
        <v>31</v>
      </c>
      <c r="D213" s="131">
        <v>45161.0</v>
      </c>
      <c r="E213" s="131">
        <v>47567.0</v>
      </c>
      <c r="F213" s="46">
        <v>26758.0</v>
      </c>
      <c r="G213" s="47">
        <v>13104.0</v>
      </c>
      <c r="H213" s="132">
        <v>42811.0</v>
      </c>
      <c r="I213" s="132"/>
      <c r="J213" s="51">
        <v>35995.0</v>
      </c>
      <c r="K213" s="29">
        <f t="shared" si="2"/>
        <v>211396</v>
      </c>
    </row>
    <row r="214">
      <c r="A214" s="22"/>
      <c r="B214" s="71" t="s">
        <v>86</v>
      </c>
      <c r="C214" s="70" t="s">
        <v>32</v>
      </c>
      <c r="D214" s="132">
        <v>21913.0</v>
      </c>
      <c r="E214" s="132">
        <v>16206.0</v>
      </c>
      <c r="F214" s="132">
        <v>10105.0</v>
      </c>
      <c r="G214" s="132">
        <v>4478.0</v>
      </c>
      <c r="H214" s="132">
        <v>24559.0</v>
      </c>
      <c r="I214" s="132"/>
      <c r="J214" s="51">
        <v>12459.0</v>
      </c>
      <c r="K214" s="29">
        <f t="shared" si="2"/>
        <v>89720</v>
      </c>
    </row>
    <row r="215">
      <c r="A215" s="22"/>
      <c r="B215" s="71" t="s">
        <v>89</v>
      </c>
      <c r="C215" s="70" t="s">
        <v>34</v>
      </c>
      <c r="D215" s="132">
        <v>21934.0</v>
      </c>
      <c r="E215" s="132">
        <v>18056.0</v>
      </c>
      <c r="F215" s="132">
        <v>17597.0</v>
      </c>
      <c r="G215" s="132">
        <v>6027.0</v>
      </c>
      <c r="H215" s="132">
        <v>16552.0</v>
      </c>
      <c r="I215" s="132"/>
      <c r="J215" s="51">
        <v>10200.0</v>
      </c>
      <c r="K215" s="29">
        <f t="shared" si="2"/>
        <v>90366</v>
      </c>
    </row>
    <row r="216">
      <c r="A216" s="22"/>
      <c r="B216" s="71" t="s">
        <v>91</v>
      </c>
      <c r="C216" s="70" t="s">
        <v>35</v>
      </c>
      <c r="D216" s="132">
        <v>29165.0</v>
      </c>
      <c r="E216" s="132">
        <v>10789.0</v>
      </c>
      <c r="F216" s="132">
        <v>26950.0</v>
      </c>
      <c r="G216" s="132">
        <v>8326.0</v>
      </c>
      <c r="H216" s="132">
        <v>26950.0</v>
      </c>
      <c r="I216" s="132"/>
      <c r="J216" s="51">
        <v>17615.0</v>
      </c>
      <c r="K216" s="29">
        <f t="shared" si="2"/>
        <v>119795</v>
      </c>
    </row>
    <row r="217">
      <c r="A217" s="22"/>
      <c r="B217" s="71" t="s">
        <v>93</v>
      </c>
      <c r="C217" s="70" t="s">
        <v>36</v>
      </c>
      <c r="D217" s="132">
        <v>20136.0</v>
      </c>
      <c r="E217" s="132">
        <v>18886.0</v>
      </c>
      <c r="F217" s="132">
        <v>27484.0</v>
      </c>
      <c r="G217" s="132">
        <v>5523.0</v>
      </c>
      <c r="H217" s="132">
        <v>27484.0</v>
      </c>
      <c r="I217" s="132"/>
      <c r="J217" s="51">
        <v>24715.0</v>
      </c>
      <c r="K217" s="29">
        <f t="shared" si="2"/>
        <v>124228</v>
      </c>
    </row>
    <row r="218">
      <c r="A218" s="22"/>
      <c r="B218" s="71" t="s">
        <v>94</v>
      </c>
      <c r="C218" s="70" t="s">
        <v>30</v>
      </c>
      <c r="D218" s="132">
        <v>38285.0</v>
      </c>
      <c r="E218" s="132">
        <v>26094.0</v>
      </c>
      <c r="F218" s="132">
        <v>14557.0</v>
      </c>
      <c r="G218" s="132">
        <v>9928.0</v>
      </c>
      <c r="H218" s="132">
        <v>32556.0</v>
      </c>
      <c r="I218" s="132"/>
      <c r="J218" s="51">
        <v>26080.0</v>
      </c>
      <c r="K218" s="29">
        <f t="shared" si="2"/>
        <v>147500</v>
      </c>
    </row>
    <row r="219">
      <c r="A219" s="22"/>
      <c r="B219" s="71" t="s">
        <v>95</v>
      </c>
      <c r="C219" s="70" t="s">
        <v>29</v>
      </c>
      <c r="D219" s="132">
        <v>68722.0</v>
      </c>
      <c r="E219" s="132">
        <v>43749.0</v>
      </c>
      <c r="F219" s="132">
        <v>22999.0</v>
      </c>
      <c r="G219" s="132">
        <v>14802.0</v>
      </c>
      <c r="H219" s="132">
        <v>55947.0</v>
      </c>
      <c r="I219" s="132"/>
      <c r="J219" s="51">
        <v>43920.0</v>
      </c>
      <c r="K219" s="29">
        <f t="shared" si="2"/>
        <v>250139</v>
      </c>
    </row>
    <row r="220">
      <c r="A220" s="22"/>
      <c r="B220" s="71" t="s">
        <v>96</v>
      </c>
      <c r="C220" s="70" t="s">
        <v>31</v>
      </c>
      <c r="D220" s="134">
        <v>56573.0</v>
      </c>
      <c r="E220" s="134">
        <v>62468.0</v>
      </c>
      <c r="F220" s="134">
        <v>24983.0</v>
      </c>
      <c r="G220" s="134">
        <v>17132.0</v>
      </c>
      <c r="H220" s="134">
        <v>56217.0</v>
      </c>
      <c r="I220" s="134"/>
      <c r="J220" s="51">
        <v>52320.0</v>
      </c>
      <c r="K220" s="29">
        <f t="shared" si="2"/>
        <v>269693</v>
      </c>
    </row>
    <row r="221">
      <c r="A221" s="49"/>
      <c r="B221" s="111"/>
      <c r="C221" s="135"/>
      <c r="D221" s="66">
        <f t="shared" ref="D221:H221" si="3">SUM(D190:D220)</f>
        <v>1026327</v>
      </c>
      <c r="E221" s="66">
        <f t="shared" si="3"/>
        <v>1030035</v>
      </c>
      <c r="F221" s="66">
        <f t="shared" si="3"/>
        <v>405472</v>
      </c>
      <c r="G221" s="66">
        <f t="shared" si="3"/>
        <v>303289.95</v>
      </c>
      <c r="H221" s="66">
        <f t="shared" si="3"/>
        <v>1049659</v>
      </c>
      <c r="I221" s="66"/>
      <c r="J221" s="66">
        <f>SUM(J190:J220)</f>
        <v>873446</v>
      </c>
      <c r="K221" s="29">
        <f t="shared" si="2"/>
        <v>4688228.95</v>
      </c>
    </row>
    <row r="222">
      <c r="A222" s="60" t="s">
        <v>234</v>
      </c>
      <c r="B222" s="136">
        <v>46028.0</v>
      </c>
      <c r="C222" s="35" t="s">
        <v>32</v>
      </c>
      <c r="D222" s="137">
        <v>30008.0</v>
      </c>
      <c r="E222" s="21">
        <v>20049.0</v>
      </c>
      <c r="F222" s="138">
        <v>8984.0</v>
      </c>
      <c r="G222" s="38">
        <v>6376.0</v>
      </c>
      <c r="H222" s="139">
        <v>24947.0</v>
      </c>
      <c r="I222" s="137"/>
      <c r="J222" s="37">
        <v>13594.0</v>
      </c>
      <c r="K222" s="140">
        <f t="shared" si="2"/>
        <v>103958</v>
      </c>
    </row>
    <row r="223">
      <c r="A223" s="22"/>
      <c r="B223" s="136">
        <v>46059.0</v>
      </c>
      <c r="C223" s="35" t="s">
        <v>34</v>
      </c>
      <c r="D223" s="42">
        <v>27726.0</v>
      </c>
      <c r="E223" s="30">
        <v>23652.0</v>
      </c>
      <c r="F223" s="141">
        <v>8009.0</v>
      </c>
      <c r="G223" s="142">
        <v>8672.0</v>
      </c>
      <c r="H223" s="143">
        <v>26636.0</v>
      </c>
      <c r="I223" s="42"/>
      <c r="J223" s="37">
        <v>20847.0</v>
      </c>
      <c r="K223" s="140">
        <f t="shared" si="2"/>
        <v>115542</v>
      </c>
    </row>
    <row r="224">
      <c r="A224" s="22"/>
      <c r="B224" s="136">
        <v>46087.0</v>
      </c>
      <c r="C224" s="35" t="s">
        <v>35</v>
      </c>
      <c r="D224" s="42">
        <v>33314.0</v>
      </c>
      <c r="E224" s="30">
        <v>15414.0</v>
      </c>
      <c r="F224" s="141">
        <v>9849.0</v>
      </c>
      <c r="G224" s="142">
        <v>8733.0</v>
      </c>
      <c r="H224" s="143">
        <v>30198.0</v>
      </c>
      <c r="I224" s="42"/>
      <c r="J224" s="37">
        <v>20039.0</v>
      </c>
      <c r="K224" s="140">
        <f t="shared" si="2"/>
        <v>117547</v>
      </c>
    </row>
    <row r="225">
      <c r="A225" s="22"/>
      <c r="B225" s="136">
        <v>46118.0</v>
      </c>
      <c r="C225" s="35" t="s">
        <v>36</v>
      </c>
      <c r="D225" s="42">
        <v>38196.0</v>
      </c>
      <c r="E225" s="30">
        <v>19598.0</v>
      </c>
      <c r="F225" s="41">
        <v>8336.0</v>
      </c>
      <c r="G225" s="41">
        <v>7919.0</v>
      </c>
      <c r="H225" s="143">
        <v>29515.0</v>
      </c>
      <c r="I225" s="42"/>
      <c r="J225" s="37">
        <v>17988.0</v>
      </c>
      <c r="K225" s="140">
        <f t="shared" si="2"/>
        <v>121552</v>
      </c>
    </row>
    <row r="226">
      <c r="A226" s="22"/>
      <c r="B226" s="136">
        <v>46148.0</v>
      </c>
      <c r="C226" s="35" t="s">
        <v>30</v>
      </c>
      <c r="D226" s="42">
        <v>47322.0</v>
      </c>
      <c r="E226" s="30">
        <v>23649.0</v>
      </c>
      <c r="F226" s="41">
        <v>13217.0</v>
      </c>
      <c r="G226" s="41">
        <v>12378.0</v>
      </c>
      <c r="H226" s="41">
        <v>36811.0</v>
      </c>
      <c r="I226" s="37"/>
      <c r="J226" s="37">
        <v>2100.0</v>
      </c>
      <c r="K226" s="140">
        <f t="shared" si="2"/>
        <v>135477</v>
      </c>
    </row>
    <row r="227">
      <c r="A227" s="22"/>
      <c r="B227" s="136">
        <v>46179.0</v>
      </c>
      <c r="C227" s="35" t="s">
        <v>29</v>
      </c>
      <c r="D227" s="42">
        <v>54484.0</v>
      </c>
      <c r="E227" s="30">
        <v>47875.0</v>
      </c>
      <c r="F227" s="41">
        <v>20089.0</v>
      </c>
      <c r="G227" s="41">
        <v>13300.0</v>
      </c>
      <c r="H227" s="41">
        <v>45949.0</v>
      </c>
      <c r="I227" s="37"/>
      <c r="J227" s="37">
        <v>32705.0</v>
      </c>
      <c r="K227" s="140">
        <f t="shared" si="2"/>
        <v>214402</v>
      </c>
    </row>
    <row r="228">
      <c r="A228" s="22"/>
      <c r="B228" s="136">
        <v>46209.0</v>
      </c>
      <c r="C228" s="35" t="s">
        <v>31</v>
      </c>
      <c r="D228" s="42">
        <v>72028.0</v>
      </c>
      <c r="E228" s="30">
        <v>48017.0</v>
      </c>
      <c r="F228" s="41">
        <v>25255.0</v>
      </c>
      <c r="G228" s="41">
        <v>14444.0</v>
      </c>
      <c r="H228" s="41">
        <v>51326.0</v>
      </c>
      <c r="I228" s="37"/>
      <c r="J228" s="37">
        <v>42215.0</v>
      </c>
      <c r="K228" s="140">
        <f t="shared" si="2"/>
        <v>253285</v>
      </c>
    </row>
    <row r="229">
      <c r="A229" s="22"/>
      <c r="B229" s="136">
        <v>46240.0</v>
      </c>
      <c r="C229" s="35" t="s">
        <v>32</v>
      </c>
      <c r="D229" s="42">
        <v>24432.0</v>
      </c>
      <c r="E229" s="30">
        <v>19538.0</v>
      </c>
      <c r="F229" s="41">
        <v>5177.0</v>
      </c>
      <c r="G229" s="41">
        <v>6984.0</v>
      </c>
      <c r="H229" s="41">
        <v>17258.0</v>
      </c>
      <c r="I229" s="37"/>
      <c r="J229" s="37">
        <v>15029.0</v>
      </c>
      <c r="K229" s="140">
        <f t="shared" si="2"/>
        <v>88418</v>
      </c>
    </row>
    <row r="230">
      <c r="A230" s="22"/>
      <c r="B230" s="136">
        <v>46271.0</v>
      </c>
      <c r="C230" s="35" t="s">
        <v>34</v>
      </c>
      <c r="D230" s="42">
        <v>25225.0</v>
      </c>
      <c r="E230" s="30">
        <v>16602.0</v>
      </c>
      <c r="F230" s="41">
        <v>11026.0</v>
      </c>
      <c r="G230" s="41">
        <v>5892.0</v>
      </c>
      <c r="H230" s="41">
        <v>27910.0</v>
      </c>
      <c r="I230" s="37"/>
      <c r="J230" s="37">
        <v>18295.0</v>
      </c>
      <c r="K230" s="140">
        <f t="shared" si="2"/>
        <v>104950</v>
      </c>
    </row>
    <row r="231">
      <c r="A231" s="22"/>
      <c r="B231" s="136">
        <v>46301.0</v>
      </c>
      <c r="C231" s="35" t="s">
        <v>35</v>
      </c>
      <c r="D231" s="42">
        <v>22571.0</v>
      </c>
      <c r="E231" s="30">
        <v>20496.0</v>
      </c>
      <c r="F231" s="41">
        <v>6309.0</v>
      </c>
      <c r="G231" s="41">
        <v>4099.0</v>
      </c>
      <c r="H231" s="41">
        <v>18260.0</v>
      </c>
      <c r="I231" s="37"/>
      <c r="J231" s="37">
        <v>10755.0</v>
      </c>
      <c r="K231" s="140">
        <f t="shared" si="2"/>
        <v>82490</v>
      </c>
    </row>
    <row r="232">
      <c r="A232" s="22"/>
      <c r="B232" s="136">
        <v>46332.0</v>
      </c>
      <c r="C232" s="35" t="s">
        <v>36</v>
      </c>
      <c r="D232" s="42">
        <v>28900.0</v>
      </c>
      <c r="E232" s="30">
        <v>26687.0</v>
      </c>
      <c r="F232" s="141">
        <v>9470.0</v>
      </c>
      <c r="G232" s="63">
        <v>6236.0</v>
      </c>
      <c r="H232" s="41">
        <v>27776.0</v>
      </c>
      <c r="I232" s="37"/>
      <c r="J232" s="37">
        <v>16324.0</v>
      </c>
      <c r="K232" s="140">
        <f t="shared" si="2"/>
        <v>115393</v>
      </c>
    </row>
    <row r="233">
      <c r="A233" s="22"/>
      <c r="B233" s="69">
        <v>46362.0</v>
      </c>
      <c r="C233" s="35" t="s">
        <v>30</v>
      </c>
      <c r="D233" s="42">
        <v>33291.0</v>
      </c>
      <c r="E233" s="37">
        <v>31431.0</v>
      </c>
      <c r="F233" s="141">
        <v>11662.0</v>
      </c>
      <c r="G233" s="63">
        <v>7081.0</v>
      </c>
      <c r="H233" s="143">
        <v>35463.0</v>
      </c>
      <c r="I233" s="42"/>
      <c r="J233" s="37">
        <v>17989.0</v>
      </c>
      <c r="K233" s="140">
        <f t="shared" si="2"/>
        <v>136917</v>
      </c>
    </row>
    <row r="234">
      <c r="A234" s="22"/>
      <c r="B234" s="71" t="s">
        <v>235</v>
      </c>
      <c r="C234" s="35" t="s">
        <v>29</v>
      </c>
      <c r="D234" s="42">
        <v>51731.0</v>
      </c>
      <c r="E234" s="37">
        <v>38081.0</v>
      </c>
      <c r="F234" s="141">
        <v>21057.0</v>
      </c>
      <c r="G234" s="63">
        <v>11567.0</v>
      </c>
      <c r="H234" s="143">
        <v>50233.0</v>
      </c>
      <c r="I234" s="42"/>
      <c r="J234" s="37">
        <v>40030.0</v>
      </c>
      <c r="K234" s="140">
        <f t="shared" si="2"/>
        <v>212699</v>
      </c>
    </row>
    <row r="235">
      <c r="A235" s="22"/>
      <c r="B235" s="71" t="s">
        <v>236</v>
      </c>
      <c r="C235" s="35" t="s">
        <v>31</v>
      </c>
      <c r="D235" s="42">
        <v>51715.0</v>
      </c>
      <c r="E235" s="37">
        <v>42321.0</v>
      </c>
      <c r="F235" s="141">
        <v>28225.0</v>
      </c>
      <c r="G235" s="63">
        <v>12750.0</v>
      </c>
      <c r="H235" s="143">
        <v>48911.0</v>
      </c>
      <c r="I235" s="42"/>
      <c r="J235" s="37">
        <v>40279.0</v>
      </c>
      <c r="K235" s="140">
        <f t="shared" si="2"/>
        <v>224201</v>
      </c>
    </row>
    <row r="236">
      <c r="A236" s="22"/>
      <c r="B236" s="71" t="s">
        <v>237</v>
      </c>
      <c r="C236" s="35" t="s">
        <v>32</v>
      </c>
      <c r="D236" s="42">
        <v>30748.0</v>
      </c>
      <c r="E236" s="42">
        <v>23645.0</v>
      </c>
      <c r="F236" s="30">
        <v>10709.0</v>
      </c>
      <c r="G236" s="63">
        <v>6455.0</v>
      </c>
      <c r="H236" s="143">
        <v>25456.0</v>
      </c>
      <c r="I236" s="42"/>
      <c r="J236" s="37">
        <v>12625.0</v>
      </c>
      <c r="K236" s="140">
        <f t="shared" si="2"/>
        <v>109638</v>
      </c>
    </row>
    <row r="237">
      <c r="A237" s="22"/>
      <c r="B237" s="71" t="s">
        <v>238</v>
      </c>
      <c r="C237" s="35" t="s">
        <v>34</v>
      </c>
      <c r="D237" s="42">
        <v>24362.0</v>
      </c>
      <c r="E237" s="42">
        <v>22983.0</v>
      </c>
      <c r="F237" s="30">
        <v>7135.0</v>
      </c>
      <c r="G237" s="63">
        <v>9774.0</v>
      </c>
      <c r="H237" s="143">
        <v>30274.0</v>
      </c>
      <c r="I237" s="42"/>
      <c r="J237" s="37">
        <v>14350.0</v>
      </c>
      <c r="K237" s="140">
        <f t="shared" si="2"/>
        <v>108878</v>
      </c>
    </row>
    <row r="238">
      <c r="A238" s="22"/>
      <c r="B238" s="71" t="s">
        <v>239</v>
      </c>
      <c r="C238" s="35" t="s">
        <v>35</v>
      </c>
      <c r="D238" s="42">
        <v>22537.0</v>
      </c>
      <c r="E238" s="42">
        <v>18514.0</v>
      </c>
      <c r="F238" s="30">
        <v>6647.0</v>
      </c>
      <c r="G238" s="63">
        <v>7140.0</v>
      </c>
      <c r="H238" s="143">
        <v>22682.0</v>
      </c>
      <c r="I238" s="42"/>
      <c r="J238" s="37">
        <v>15160.0</v>
      </c>
      <c r="K238" s="140">
        <f t="shared" si="2"/>
        <v>92680</v>
      </c>
    </row>
    <row r="239">
      <c r="A239" s="22"/>
      <c r="B239" s="71" t="s">
        <v>240</v>
      </c>
      <c r="C239" s="35" t="s">
        <v>36</v>
      </c>
      <c r="D239" s="42">
        <v>29865.0</v>
      </c>
      <c r="E239" s="42">
        <v>24992.0</v>
      </c>
      <c r="F239" s="30">
        <v>7072.0</v>
      </c>
      <c r="G239" s="63">
        <v>6555.0</v>
      </c>
      <c r="H239" s="143">
        <v>31959.0</v>
      </c>
      <c r="I239" s="42"/>
      <c r="J239" s="37">
        <v>19504.0</v>
      </c>
      <c r="K239" s="140">
        <f t="shared" si="2"/>
        <v>119947</v>
      </c>
    </row>
    <row r="240">
      <c r="A240" s="22"/>
      <c r="B240" s="71" t="s">
        <v>241</v>
      </c>
      <c r="C240" s="35" t="s">
        <v>30</v>
      </c>
      <c r="D240" s="42">
        <v>34756.0</v>
      </c>
      <c r="E240" s="42">
        <v>20788.0</v>
      </c>
      <c r="F240" s="41">
        <v>10675.0</v>
      </c>
      <c r="G240" s="145">
        <v>4256.0</v>
      </c>
      <c r="H240" s="131">
        <v>28068.0</v>
      </c>
      <c r="I240" s="42"/>
      <c r="J240" s="37">
        <v>18045.0</v>
      </c>
      <c r="K240" s="140">
        <f t="shared" si="2"/>
        <v>116588</v>
      </c>
    </row>
    <row r="241">
      <c r="A241" s="22"/>
      <c r="B241" s="71" t="s">
        <v>242</v>
      </c>
      <c r="C241" s="35" t="s">
        <v>29</v>
      </c>
      <c r="D241" s="42">
        <v>46457.0</v>
      </c>
      <c r="E241" s="42">
        <v>35254.0</v>
      </c>
      <c r="F241" s="41">
        <v>13319.0</v>
      </c>
      <c r="G241" s="145">
        <v>6777.0</v>
      </c>
      <c r="H241" s="131">
        <v>44365.0</v>
      </c>
      <c r="I241" s="42"/>
      <c r="J241" s="37">
        <v>25010.0</v>
      </c>
      <c r="K241" s="140">
        <f t="shared" si="2"/>
        <v>171182</v>
      </c>
    </row>
    <row r="242">
      <c r="A242" s="22"/>
      <c r="B242" s="71" t="s">
        <v>243</v>
      </c>
      <c r="C242" s="35" t="s">
        <v>31</v>
      </c>
      <c r="D242" s="131">
        <v>56573.0</v>
      </c>
      <c r="E242" s="131">
        <v>50244.0</v>
      </c>
      <c r="F242" s="41">
        <v>21010.0</v>
      </c>
      <c r="G242" s="145">
        <v>8323.0</v>
      </c>
      <c r="H242" s="131">
        <v>56920.0</v>
      </c>
      <c r="I242" s="42"/>
      <c r="J242" s="37">
        <v>42677.0</v>
      </c>
      <c r="K242" s="140">
        <f t="shared" si="2"/>
        <v>235747</v>
      </c>
    </row>
    <row r="243">
      <c r="A243" s="22"/>
      <c r="B243" s="71" t="s">
        <v>244</v>
      </c>
      <c r="C243" s="35" t="s">
        <v>32</v>
      </c>
      <c r="D243" s="131">
        <v>19871.0</v>
      </c>
      <c r="E243" s="131">
        <v>23220.0</v>
      </c>
      <c r="F243" s="41">
        <v>10427.0</v>
      </c>
      <c r="G243" s="145">
        <v>4308.0</v>
      </c>
      <c r="H243" s="131">
        <v>23510.0</v>
      </c>
      <c r="I243" s="132"/>
      <c r="J243" s="51">
        <v>16098.0</v>
      </c>
      <c r="K243" s="140">
        <f t="shared" si="2"/>
        <v>97434</v>
      </c>
    </row>
    <row r="244">
      <c r="A244" s="22"/>
      <c r="B244" s="71" t="s">
        <v>245</v>
      </c>
      <c r="C244" s="35" t="s">
        <v>34</v>
      </c>
      <c r="D244" s="131">
        <v>31687.0</v>
      </c>
      <c r="E244" s="131">
        <v>20290.0</v>
      </c>
      <c r="F244" s="46">
        <v>8879.0</v>
      </c>
      <c r="G244" s="47">
        <v>7368.0</v>
      </c>
      <c r="H244" s="132">
        <v>29651.0</v>
      </c>
      <c r="I244" s="132"/>
      <c r="J244" s="51">
        <v>19784.0</v>
      </c>
      <c r="K244" s="55">
        <f t="shared" si="2"/>
        <v>117659</v>
      </c>
    </row>
    <row r="245">
      <c r="A245" s="22"/>
      <c r="B245" s="71" t="s">
        <v>246</v>
      </c>
      <c r="C245" s="35" t="s">
        <v>35</v>
      </c>
      <c r="D245" s="131">
        <v>19190.0</v>
      </c>
      <c r="E245" s="131">
        <v>20412.0</v>
      </c>
      <c r="F245" s="46">
        <v>8218.0</v>
      </c>
      <c r="G245" s="47">
        <v>2979.0</v>
      </c>
      <c r="H245" s="132">
        <v>24801.0</v>
      </c>
      <c r="I245" s="132"/>
      <c r="J245" s="51">
        <v>14739.0</v>
      </c>
      <c r="K245" s="29">
        <f t="shared" si="2"/>
        <v>90339</v>
      </c>
    </row>
    <row r="246">
      <c r="A246" s="22"/>
      <c r="B246" s="71" t="s">
        <v>247</v>
      </c>
      <c r="C246" s="35" t="s">
        <v>36</v>
      </c>
      <c r="D246" s="132">
        <v>24891.0</v>
      </c>
      <c r="E246" s="132">
        <v>22295.0</v>
      </c>
      <c r="F246" s="132">
        <v>11830.0</v>
      </c>
      <c r="G246" s="132">
        <v>4123.0</v>
      </c>
      <c r="H246" s="132">
        <v>25954.0</v>
      </c>
      <c r="I246" s="132"/>
      <c r="J246" s="51">
        <v>12815.0</v>
      </c>
      <c r="K246" s="29">
        <f t="shared" si="2"/>
        <v>101908</v>
      </c>
    </row>
    <row r="247">
      <c r="A247" s="22"/>
      <c r="B247" s="71" t="s">
        <v>248</v>
      </c>
      <c r="C247" s="35" t="s">
        <v>30</v>
      </c>
      <c r="D247" s="132">
        <v>31788.0</v>
      </c>
      <c r="E247" s="132">
        <v>26591.0</v>
      </c>
      <c r="F247" s="132">
        <v>10722.0</v>
      </c>
      <c r="G247" s="132">
        <v>4786.0</v>
      </c>
      <c r="H247" s="132">
        <v>27974.0</v>
      </c>
      <c r="I247" s="132"/>
      <c r="J247" s="51">
        <v>16524.0</v>
      </c>
      <c r="K247" s="29">
        <f t="shared" si="2"/>
        <v>118385</v>
      </c>
    </row>
    <row r="248">
      <c r="A248" s="22"/>
      <c r="B248" s="71" t="s">
        <v>249</v>
      </c>
      <c r="C248" s="35" t="s">
        <v>29</v>
      </c>
      <c r="D248" s="132">
        <v>46225.0</v>
      </c>
      <c r="E248" s="132">
        <v>30927.0</v>
      </c>
      <c r="F248" s="132">
        <v>16608.0</v>
      </c>
      <c r="G248" s="132">
        <v>8092.0</v>
      </c>
      <c r="H248" s="132">
        <v>39466.0</v>
      </c>
      <c r="I248" s="132"/>
      <c r="J248" s="51">
        <v>23870.0</v>
      </c>
      <c r="K248" s="29">
        <f t="shared" si="2"/>
        <v>165188</v>
      </c>
    </row>
    <row r="249">
      <c r="A249" s="22"/>
      <c r="B249" s="71" t="s">
        <v>250</v>
      </c>
      <c r="C249" s="35" t="s">
        <v>31</v>
      </c>
      <c r="D249" s="132">
        <v>51029.0</v>
      </c>
      <c r="E249" s="132">
        <v>30469.0</v>
      </c>
      <c r="F249" s="132">
        <v>20087.0</v>
      </c>
      <c r="G249" s="132">
        <v>7363.0</v>
      </c>
      <c r="H249" s="132">
        <v>44928.0</v>
      </c>
      <c r="I249" s="132"/>
      <c r="J249" s="51">
        <v>24017.0</v>
      </c>
      <c r="K249" s="29">
        <f t="shared" si="2"/>
        <v>177893</v>
      </c>
    </row>
    <row r="250">
      <c r="A250" s="22"/>
      <c r="B250" s="71" t="s">
        <v>251</v>
      </c>
      <c r="C250" s="35" t="s">
        <v>32</v>
      </c>
      <c r="D250" s="132">
        <v>18139.0</v>
      </c>
      <c r="E250" s="132">
        <v>15602.0</v>
      </c>
      <c r="F250" s="132">
        <v>3508.0</v>
      </c>
      <c r="G250" s="132">
        <v>2254.0</v>
      </c>
      <c r="H250" s="132">
        <v>17174.0</v>
      </c>
      <c r="I250" s="132"/>
      <c r="J250" s="51">
        <v>9293.0</v>
      </c>
      <c r="K250" s="29">
        <f t="shared" si="2"/>
        <v>65970</v>
      </c>
    </row>
    <row r="251">
      <c r="A251" s="22"/>
      <c r="B251" s="71" t="s">
        <v>252</v>
      </c>
      <c r="C251" s="35" t="s">
        <v>34</v>
      </c>
      <c r="D251" s="132">
        <v>23430.0</v>
      </c>
      <c r="E251" s="132">
        <v>18393.0</v>
      </c>
      <c r="F251" s="132">
        <v>5875.0</v>
      </c>
      <c r="G251" s="132">
        <v>3998.0</v>
      </c>
      <c r="H251" s="132">
        <v>23737.0</v>
      </c>
      <c r="I251" s="132"/>
      <c r="J251" s="51">
        <v>13704.0</v>
      </c>
      <c r="K251" s="29">
        <f t="shared" si="2"/>
        <v>89137</v>
      </c>
    </row>
    <row r="252">
      <c r="A252" s="49"/>
      <c r="B252" s="71"/>
      <c r="C252" s="35"/>
      <c r="D252" s="66">
        <f t="shared" ref="D252:H252" si="4">SUM(D222:D251)</f>
        <v>1052491</v>
      </c>
      <c r="E252" s="66">
        <f t="shared" si="4"/>
        <v>798029</v>
      </c>
      <c r="F252" s="66">
        <f t="shared" si="4"/>
        <v>359386</v>
      </c>
      <c r="G252" s="66">
        <f t="shared" si="4"/>
        <v>220982</v>
      </c>
      <c r="H252" s="66">
        <f t="shared" si="4"/>
        <v>968112</v>
      </c>
      <c r="I252" s="66"/>
      <c r="J252" s="66">
        <f>SUM(J222:J251)</f>
        <v>606404</v>
      </c>
      <c r="K252" s="29">
        <f t="shared" si="2"/>
        <v>4005404</v>
      </c>
    </row>
    <row r="253">
      <c r="A253" s="60" t="s">
        <v>37</v>
      </c>
      <c r="B253" s="69">
        <v>46029.0</v>
      </c>
      <c r="C253" s="70" t="s">
        <v>35</v>
      </c>
      <c r="D253" s="42">
        <v>25438.0</v>
      </c>
      <c r="E253" s="30">
        <v>18092.0</v>
      </c>
      <c r="F253" s="138">
        <v>9114.0</v>
      </c>
      <c r="G253" s="142"/>
      <c r="H253" s="143">
        <v>29291.0</v>
      </c>
      <c r="I253" s="42"/>
      <c r="J253" s="37">
        <v>13987.0</v>
      </c>
      <c r="K253" s="29">
        <f t="shared" si="2"/>
        <v>95922</v>
      </c>
    </row>
    <row r="254">
      <c r="A254" s="22"/>
      <c r="B254" s="69">
        <v>46060.0</v>
      </c>
      <c r="C254" s="70" t="s">
        <v>36</v>
      </c>
      <c r="D254" s="42">
        <v>26940.0</v>
      </c>
      <c r="E254" s="30">
        <v>22551.0</v>
      </c>
      <c r="F254" s="141">
        <v>8381.0</v>
      </c>
      <c r="G254" s="142"/>
      <c r="H254" s="143">
        <v>22460.0</v>
      </c>
      <c r="I254" s="42"/>
      <c r="J254" s="37">
        <v>18524.0</v>
      </c>
      <c r="K254" s="29">
        <f t="shared" si="2"/>
        <v>98856</v>
      </c>
    </row>
    <row r="255">
      <c r="A255" s="22"/>
      <c r="B255" s="69">
        <v>46088.0</v>
      </c>
      <c r="C255" s="70" t="s">
        <v>30</v>
      </c>
      <c r="D255" s="42">
        <v>29078.0</v>
      </c>
      <c r="E255" s="30">
        <v>28585.0</v>
      </c>
      <c r="F255" s="141">
        <v>10809.0</v>
      </c>
      <c r="G255" s="142"/>
      <c r="H255" s="143">
        <v>42948.0</v>
      </c>
      <c r="I255" s="42"/>
      <c r="J255" s="37">
        <v>23879.0</v>
      </c>
      <c r="K255" s="29">
        <f t="shared" si="2"/>
        <v>135299</v>
      </c>
    </row>
    <row r="256">
      <c r="A256" s="22"/>
      <c r="B256" s="69">
        <v>46119.0</v>
      </c>
      <c r="C256" s="70" t="s">
        <v>29</v>
      </c>
      <c r="D256" s="42">
        <v>60581.0</v>
      </c>
      <c r="E256" s="30">
        <v>47898.0</v>
      </c>
      <c r="F256" s="141">
        <v>16322.0</v>
      </c>
      <c r="G256" s="142"/>
      <c r="H256" s="143">
        <v>61100.0</v>
      </c>
      <c r="I256" s="42"/>
      <c r="J256" s="37">
        <v>37517.0</v>
      </c>
      <c r="K256" s="29">
        <f t="shared" si="2"/>
        <v>223418</v>
      </c>
    </row>
    <row r="257">
      <c r="A257" s="22"/>
      <c r="B257" s="69">
        <v>46149.0</v>
      </c>
      <c r="C257" s="70" t="s">
        <v>31</v>
      </c>
      <c r="D257" s="42">
        <v>71481.0</v>
      </c>
      <c r="E257" s="30">
        <v>59635.0</v>
      </c>
      <c r="F257" s="141">
        <v>24951.0</v>
      </c>
      <c r="G257" s="142"/>
      <c r="H257" s="143">
        <v>71865.0</v>
      </c>
      <c r="I257" s="42"/>
      <c r="J257" s="37">
        <v>46330.0</v>
      </c>
      <c r="K257" s="29">
        <f t="shared" si="2"/>
        <v>274262</v>
      </c>
    </row>
    <row r="258">
      <c r="A258" s="22"/>
      <c r="B258" s="69">
        <v>46180.0</v>
      </c>
      <c r="C258" s="70" t="s">
        <v>32</v>
      </c>
      <c r="D258" s="42">
        <v>19005.0</v>
      </c>
      <c r="E258" s="30">
        <v>8262.0</v>
      </c>
      <c r="F258" s="141">
        <v>8768.0</v>
      </c>
      <c r="G258" s="63"/>
      <c r="H258" s="143">
        <v>20876.0</v>
      </c>
      <c r="I258" s="42"/>
      <c r="J258" s="37">
        <v>12164.0</v>
      </c>
      <c r="K258" s="29">
        <f t="shared" si="2"/>
        <v>69075</v>
      </c>
    </row>
    <row r="259">
      <c r="A259" s="22"/>
      <c r="B259" s="69">
        <v>46210.0</v>
      </c>
      <c r="C259" s="70" t="s">
        <v>34</v>
      </c>
      <c r="D259" s="42">
        <v>18134.0</v>
      </c>
      <c r="E259" s="30">
        <v>13011.0</v>
      </c>
      <c r="F259" s="141">
        <v>4292.0</v>
      </c>
      <c r="G259" s="63"/>
      <c r="H259" s="143">
        <v>22629.0</v>
      </c>
      <c r="I259" s="42"/>
      <c r="J259" s="37">
        <v>18739.0</v>
      </c>
      <c r="K259" s="29">
        <f t="shared" si="2"/>
        <v>76805</v>
      </c>
    </row>
    <row r="260">
      <c r="A260" s="22"/>
      <c r="B260" s="69">
        <v>46241.0</v>
      </c>
      <c r="C260" s="70" t="s">
        <v>35</v>
      </c>
      <c r="D260" s="42">
        <v>10720.0</v>
      </c>
      <c r="E260" s="30">
        <v>5246.0</v>
      </c>
      <c r="F260" s="141">
        <v>2396.0</v>
      </c>
      <c r="G260" s="63"/>
      <c r="H260" s="143">
        <v>18155.0</v>
      </c>
      <c r="I260" s="42"/>
      <c r="J260" s="37">
        <v>9410.0</v>
      </c>
      <c r="K260" s="29">
        <f t="shared" si="2"/>
        <v>45927</v>
      </c>
    </row>
    <row r="261">
      <c r="A261" s="22"/>
      <c r="B261" s="69">
        <v>46272.0</v>
      </c>
      <c r="C261" s="70" t="s">
        <v>36</v>
      </c>
      <c r="D261" s="42">
        <v>32756.0</v>
      </c>
      <c r="E261" s="30">
        <v>24952.0</v>
      </c>
      <c r="F261" s="141">
        <v>6015.0</v>
      </c>
      <c r="G261" s="63"/>
      <c r="H261" s="143">
        <v>39820.0</v>
      </c>
      <c r="I261" s="42"/>
      <c r="J261" s="37">
        <v>27282.0</v>
      </c>
      <c r="K261" s="29">
        <f t="shared" si="2"/>
        <v>130825</v>
      </c>
    </row>
    <row r="262">
      <c r="A262" s="22"/>
      <c r="B262" s="69">
        <v>46302.0</v>
      </c>
      <c r="C262" s="70" t="s">
        <v>30</v>
      </c>
      <c r="D262" s="42">
        <v>27433.0</v>
      </c>
      <c r="E262" s="30">
        <v>22577.0</v>
      </c>
      <c r="F262" s="141">
        <v>7498.0</v>
      </c>
      <c r="G262" s="63"/>
      <c r="H262" s="143">
        <v>31385.0</v>
      </c>
      <c r="I262" s="42"/>
      <c r="J262" s="37">
        <v>18596.0</v>
      </c>
      <c r="K262" s="29">
        <f t="shared" si="2"/>
        <v>107489</v>
      </c>
    </row>
    <row r="263">
      <c r="A263" s="22"/>
      <c r="B263" s="69">
        <v>46333.0</v>
      </c>
      <c r="C263" s="70" t="s">
        <v>29</v>
      </c>
      <c r="D263" s="41">
        <v>48328.0</v>
      </c>
      <c r="E263" s="30">
        <v>43571.0</v>
      </c>
      <c r="F263" s="141">
        <v>19648.0</v>
      </c>
      <c r="G263" s="63"/>
      <c r="H263" s="41">
        <v>54045.0</v>
      </c>
      <c r="I263" s="37"/>
      <c r="J263" s="37">
        <v>35591.0</v>
      </c>
      <c r="K263" s="29">
        <f t="shared" si="2"/>
        <v>201183</v>
      </c>
    </row>
    <row r="264">
      <c r="A264" s="22"/>
      <c r="B264" s="69">
        <v>46363.0</v>
      </c>
      <c r="C264" s="70" t="s">
        <v>31</v>
      </c>
      <c r="D264" s="41">
        <v>59084.0</v>
      </c>
      <c r="E264" s="30">
        <v>32757.0</v>
      </c>
      <c r="F264" s="141">
        <v>23995.0</v>
      </c>
      <c r="G264" s="63"/>
      <c r="H264" s="41">
        <v>58409.0</v>
      </c>
      <c r="I264" s="37"/>
      <c r="J264" s="37">
        <v>40642.0</v>
      </c>
      <c r="K264" s="29">
        <f t="shared" si="2"/>
        <v>214887</v>
      </c>
    </row>
    <row r="265">
      <c r="A265" s="22"/>
      <c r="B265" s="71" t="s">
        <v>59</v>
      </c>
      <c r="C265" s="70" t="s">
        <v>32</v>
      </c>
      <c r="D265" s="41">
        <v>17769.0</v>
      </c>
      <c r="E265" s="30">
        <v>6642.0</v>
      </c>
      <c r="F265" s="141">
        <v>5813.0</v>
      </c>
      <c r="G265" s="130"/>
      <c r="H265" s="127">
        <v>22511.0</v>
      </c>
      <c r="I265" s="42"/>
      <c r="J265" s="37">
        <v>9890.0</v>
      </c>
      <c r="K265" s="29">
        <f t="shared" si="2"/>
        <v>62625</v>
      </c>
    </row>
    <row r="266">
      <c r="A266" s="22"/>
      <c r="B266" s="71" t="s">
        <v>64</v>
      </c>
      <c r="C266" s="70" t="s">
        <v>34</v>
      </c>
      <c r="D266" s="41">
        <v>32078.0</v>
      </c>
      <c r="E266" s="30">
        <v>1398.0</v>
      </c>
      <c r="F266" s="41">
        <v>7147.0</v>
      </c>
      <c r="G266" s="130"/>
      <c r="H266" s="41">
        <v>25917.0</v>
      </c>
      <c r="I266" s="37"/>
      <c r="J266" s="37">
        <v>20000.0</v>
      </c>
      <c r="K266" s="29">
        <f t="shared" si="2"/>
        <v>86540</v>
      </c>
    </row>
    <row r="267">
      <c r="A267" s="22"/>
      <c r="B267" s="71" t="s">
        <v>65</v>
      </c>
      <c r="C267" s="70" t="s">
        <v>35</v>
      </c>
      <c r="D267" s="41">
        <v>12675.0</v>
      </c>
      <c r="E267" s="42">
        <v>13995.0</v>
      </c>
      <c r="F267" s="41">
        <v>5496.0</v>
      </c>
      <c r="G267" s="130"/>
      <c r="H267" s="41">
        <v>19952.0</v>
      </c>
      <c r="I267" s="37"/>
      <c r="J267" s="37">
        <v>10592.0</v>
      </c>
      <c r="K267" s="29">
        <f t="shared" si="2"/>
        <v>62710</v>
      </c>
    </row>
    <row r="268">
      <c r="A268" s="22"/>
      <c r="B268" s="71" t="s">
        <v>66</v>
      </c>
      <c r="C268" s="70" t="s">
        <v>36</v>
      </c>
      <c r="D268" s="41">
        <v>16875.0</v>
      </c>
      <c r="E268" s="42">
        <v>15791.0</v>
      </c>
      <c r="F268" s="41">
        <v>5964.0</v>
      </c>
      <c r="G268" s="130"/>
      <c r="H268" s="41">
        <v>18295.0</v>
      </c>
      <c r="I268" s="37"/>
      <c r="J268" s="37">
        <v>12128.0</v>
      </c>
      <c r="K268" s="29">
        <f t="shared" si="2"/>
        <v>69053</v>
      </c>
    </row>
    <row r="269">
      <c r="A269" s="22"/>
      <c r="B269" s="71" t="s">
        <v>67</v>
      </c>
      <c r="C269" s="70" t="s">
        <v>30</v>
      </c>
      <c r="D269" s="41">
        <v>29371.0</v>
      </c>
      <c r="E269" s="42">
        <v>18899.0</v>
      </c>
      <c r="F269" s="41">
        <v>10121.0</v>
      </c>
      <c r="G269" s="130"/>
      <c r="H269" s="41">
        <v>30891.0</v>
      </c>
      <c r="I269" s="37"/>
      <c r="J269" s="37">
        <v>17041.0</v>
      </c>
      <c r="K269" s="29">
        <f t="shared" si="2"/>
        <v>106323</v>
      </c>
    </row>
    <row r="270">
      <c r="A270" s="22"/>
      <c r="B270" s="71" t="s">
        <v>68</v>
      </c>
      <c r="C270" s="70" t="s">
        <v>29</v>
      </c>
      <c r="D270" s="42">
        <v>47626.0</v>
      </c>
      <c r="E270" s="42">
        <v>47379.0</v>
      </c>
      <c r="F270" s="41">
        <v>15149.0</v>
      </c>
      <c r="G270" s="63"/>
      <c r="H270" s="41">
        <v>48773.0</v>
      </c>
      <c r="I270" s="37"/>
      <c r="J270" s="37">
        <v>43387.0</v>
      </c>
      <c r="K270" s="29">
        <f t="shared" si="2"/>
        <v>202314</v>
      </c>
    </row>
    <row r="271">
      <c r="A271" s="22"/>
      <c r="B271" s="71" t="s">
        <v>69</v>
      </c>
      <c r="C271" s="70" t="s">
        <v>31</v>
      </c>
      <c r="D271" s="42">
        <v>53643.0</v>
      </c>
      <c r="E271" s="42">
        <v>41761.0</v>
      </c>
      <c r="F271" s="41">
        <v>19579.0</v>
      </c>
      <c r="G271" s="47"/>
      <c r="H271" s="41">
        <v>54895.0</v>
      </c>
      <c r="I271" s="37"/>
      <c r="J271" s="37">
        <v>50022.0</v>
      </c>
      <c r="K271" s="29">
        <f t="shared" si="2"/>
        <v>219900</v>
      </c>
    </row>
    <row r="272">
      <c r="A272" s="22"/>
      <c r="B272" s="71" t="s">
        <v>70</v>
      </c>
      <c r="C272" s="70" t="s">
        <v>32</v>
      </c>
      <c r="D272" s="42">
        <v>28123.0</v>
      </c>
      <c r="E272" s="42">
        <v>14324.0</v>
      </c>
      <c r="F272" s="41">
        <v>8559.0</v>
      </c>
      <c r="G272" s="47"/>
      <c r="H272" s="41">
        <v>22518.0</v>
      </c>
      <c r="I272" s="37"/>
      <c r="J272" s="37">
        <v>16613.0</v>
      </c>
      <c r="K272" s="29">
        <f t="shared" si="2"/>
        <v>90137</v>
      </c>
    </row>
    <row r="273">
      <c r="A273" s="22"/>
      <c r="B273" s="71" t="s">
        <v>72</v>
      </c>
      <c r="C273" s="70" t="s">
        <v>34</v>
      </c>
      <c r="D273" s="131">
        <v>21279.0</v>
      </c>
      <c r="E273" s="131">
        <v>24341.0</v>
      </c>
      <c r="F273" s="41">
        <v>4514.0</v>
      </c>
      <c r="G273" s="145"/>
      <c r="H273" s="41">
        <v>32108.0</v>
      </c>
      <c r="I273" s="37"/>
      <c r="J273" s="37">
        <v>17721.0</v>
      </c>
      <c r="K273" s="29">
        <f t="shared" si="2"/>
        <v>99963</v>
      </c>
    </row>
    <row r="274">
      <c r="A274" s="22"/>
      <c r="B274" s="71" t="s">
        <v>74</v>
      </c>
      <c r="C274" s="70" t="s">
        <v>35</v>
      </c>
      <c r="D274" s="131">
        <v>23871.0</v>
      </c>
      <c r="E274" s="131">
        <v>11496.0</v>
      </c>
      <c r="F274" s="41">
        <v>5936.0</v>
      </c>
      <c r="G274" s="145"/>
      <c r="H274" s="41">
        <v>27347.0</v>
      </c>
      <c r="I274" s="51"/>
      <c r="J274" s="51">
        <v>14785.0</v>
      </c>
      <c r="K274" s="29">
        <f t="shared" si="2"/>
        <v>83435</v>
      </c>
    </row>
    <row r="275">
      <c r="A275" s="22"/>
      <c r="B275" s="71" t="s">
        <v>76</v>
      </c>
      <c r="C275" s="70" t="s">
        <v>36</v>
      </c>
      <c r="D275" s="131">
        <v>25358.0</v>
      </c>
      <c r="E275" s="131">
        <v>14247.0</v>
      </c>
      <c r="F275" s="41">
        <v>5540.0</v>
      </c>
      <c r="G275" s="145"/>
      <c r="H275" s="41">
        <v>26505.0</v>
      </c>
      <c r="I275" s="51"/>
      <c r="J275" s="51">
        <v>20282.0</v>
      </c>
      <c r="K275" s="55">
        <f t="shared" si="2"/>
        <v>91932</v>
      </c>
    </row>
    <row r="276">
      <c r="A276" s="22"/>
      <c r="B276" s="71" t="s">
        <v>78</v>
      </c>
      <c r="C276" s="70" t="s">
        <v>30</v>
      </c>
      <c r="D276" s="131">
        <v>26806.0</v>
      </c>
      <c r="E276" s="131">
        <v>18931.0</v>
      </c>
      <c r="F276" s="41">
        <v>6611.0</v>
      </c>
      <c r="G276" s="145"/>
      <c r="H276" s="41">
        <v>25950.0</v>
      </c>
      <c r="I276" s="51"/>
      <c r="J276" s="51">
        <v>25363.0</v>
      </c>
      <c r="K276" s="29">
        <f t="shared" si="2"/>
        <v>103661</v>
      </c>
    </row>
    <row r="277">
      <c r="A277" s="22"/>
      <c r="B277" s="71" t="s">
        <v>80</v>
      </c>
      <c r="C277" s="70" t="s">
        <v>29</v>
      </c>
      <c r="D277" s="132">
        <v>54990.0</v>
      </c>
      <c r="E277" s="132">
        <v>43777.0</v>
      </c>
      <c r="F277" s="41">
        <v>17086.0</v>
      </c>
      <c r="G277" s="132"/>
      <c r="H277" s="41">
        <v>64271.0</v>
      </c>
      <c r="I277" s="51"/>
      <c r="J277" s="51">
        <v>44320.0</v>
      </c>
      <c r="K277" s="29">
        <f t="shared" si="2"/>
        <v>224444</v>
      </c>
    </row>
    <row r="278">
      <c r="A278" s="22"/>
      <c r="B278" s="71" t="s">
        <v>81</v>
      </c>
      <c r="C278" s="70" t="s">
        <v>31</v>
      </c>
      <c r="D278" s="132">
        <v>63953.0</v>
      </c>
      <c r="E278" s="132">
        <v>37500.0</v>
      </c>
      <c r="F278" s="41">
        <v>18757.0</v>
      </c>
      <c r="G278" s="132"/>
      <c r="H278" s="41">
        <v>61984.0</v>
      </c>
      <c r="I278" s="51"/>
      <c r="J278" s="51">
        <v>50091.0</v>
      </c>
      <c r="K278" s="29">
        <f t="shared" si="2"/>
        <v>232285</v>
      </c>
    </row>
    <row r="279">
      <c r="A279" s="22"/>
      <c r="B279" s="71" t="s">
        <v>83</v>
      </c>
      <c r="C279" s="70" t="s">
        <v>32</v>
      </c>
      <c r="D279" s="132">
        <v>14075.0</v>
      </c>
      <c r="E279" s="132">
        <v>8278.0</v>
      </c>
      <c r="F279" s="41">
        <v>3680.0</v>
      </c>
      <c r="G279" s="132"/>
      <c r="H279" s="41">
        <v>12820.0</v>
      </c>
      <c r="I279" s="51"/>
      <c r="J279" s="51">
        <v>6368.0</v>
      </c>
      <c r="K279" s="29">
        <f t="shared" si="2"/>
        <v>45221</v>
      </c>
    </row>
    <row r="280">
      <c r="A280" s="22"/>
      <c r="B280" s="71" t="s">
        <v>85</v>
      </c>
      <c r="C280" s="70" t="s">
        <v>34</v>
      </c>
      <c r="D280" s="132">
        <v>25764.0</v>
      </c>
      <c r="E280" s="132">
        <v>8292.0</v>
      </c>
      <c r="F280" s="132">
        <v>4365.0</v>
      </c>
      <c r="G280" s="132"/>
      <c r="H280" s="41">
        <v>31374.0</v>
      </c>
      <c r="I280" s="51"/>
      <c r="J280" s="51">
        <v>25076.0</v>
      </c>
      <c r="K280" s="29">
        <f t="shared" si="2"/>
        <v>94871</v>
      </c>
    </row>
    <row r="281">
      <c r="A281" s="22"/>
      <c r="B281" s="71" t="s">
        <v>87</v>
      </c>
      <c r="C281" s="70" t="s">
        <v>35</v>
      </c>
      <c r="D281" s="132">
        <v>24009.0</v>
      </c>
      <c r="E281" s="132">
        <v>16599.0</v>
      </c>
      <c r="F281" s="46">
        <v>4890.0</v>
      </c>
      <c r="G281" s="132"/>
      <c r="H281" s="41">
        <v>25944.0</v>
      </c>
      <c r="I281" s="51"/>
      <c r="J281" s="51">
        <v>13756.0</v>
      </c>
      <c r="K281" s="29">
        <f t="shared" si="2"/>
        <v>85198</v>
      </c>
    </row>
    <row r="282">
      <c r="A282" s="22"/>
      <c r="B282" s="71" t="s">
        <v>90</v>
      </c>
      <c r="C282" s="70" t="s">
        <v>36</v>
      </c>
      <c r="D282" s="132">
        <v>39564.0</v>
      </c>
      <c r="E282" s="132">
        <v>32823.0</v>
      </c>
      <c r="F282" s="43">
        <v>8111.0</v>
      </c>
      <c r="G282" s="132"/>
      <c r="H282" s="43">
        <v>41705.0</v>
      </c>
      <c r="I282" s="51"/>
      <c r="J282" s="51">
        <v>32042.0</v>
      </c>
      <c r="K282" s="29">
        <f t="shared" si="2"/>
        <v>154245</v>
      </c>
    </row>
    <row r="283">
      <c r="A283" s="22"/>
      <c r="B283" s="71" t="s">
        <v>92</v>
      </c>
      <c r="C283" s="70" t="s">
        <v>30</v>
      </c>
      <c r="D283" s="134">
        <v>50711.0</v>
      </c>
      <c r="E283" s="134">
        <v>40902.0</v>
      </c>
      <c r="F283" s="43">
        <v>8034.0</v>
      </c>
      <c r="G283" s="134"/>
      <c r="H283" s="43">
        <v>58776.0</v>
      </c>
      <c r="I283" s="51"/>
      <c r="J283" s="51">
        <v>40546.0</v>
      </c>
      <c r="K283" s="29">
        <f t="shared" si="2"/>
        <v>198969</v>
      </c>
    </row>
    <row r="284">
      <c r="A284" s="49"/>
      <c r="B284" s="78"/>
      <c r="C284" s="79"/>
      <c r="D284" s="66">
        <f t="shared" ref="D284:H284" si="5">SUM(D253:D283)</f>
        <v>1037518</v>
      </c>
      <c r="E284" s="66">
        <f t="shared" si="5"/>
        <v>744512</v>
      </c>
      <c r="F284" s="66">
        <f t="shared" si="5"/>
        <v>307541</v>
      </c>
      <c r="G284" s="66">
        <f t="shared" si="5"/>
        <v>0</v>
      </c>
      <c r="H284" s="66">
        <f t="shared" si="5"/>
        <v>1125519</v>
      </c>
      <c r="I284" s="66"/>
      <c r="J284" s="66">
        <f>SUM(J253:J283)</f>
        <v>772684</v>
      </c>
      <c r="K284" s="29">
        <f t="shared" si="2"/>
        <v>3987774</v>
      </c>
    </row>
    <row r="285">
      <c r="A285" s="60" t="s">
        <v>99</v>
      </c>
      <c r="B285" s="69">
        <v>46030.0</v>
      </c>
      <c r="C285" s="70" t="s">
        <v>29</v>
      </c>
      <c r="D285" s="42">
        <v>97450.0</v>
      </c>
      <c r="E285" s="30">
        <v>66615.0</v>
      </c>
      <c r="F285" s="138"/>
      <c r="G285" s="142"/>
      <c r="H285" s="46">
        <v>84305.0</v>
      </c>
      <c r="I285" s="37">
        <v>0.0</v>
      </c>
      <c r="J285" s="37">
        <v>61398.0</v>
      </c>
      <c r="K285" s="29">
        <f t="shared" si="2"/>
        <v>309768</v>
      </c>
    </row>
    <row r="286">
      <c r="A286" s="22"/>
      <c r="B286" s="69">
        <v>46061.0</v>
      </c>
      <c r="C286" s="70" t="s">
        <v>31</v>
      </c>
      <c r="D286" s="42">
        <v>91730.0</v>
      </c>
      <c r="E286" s="30">
        <v>65286.0</v>
      </c>
      <c r="F286" s="141"/>
      <c r="G286" s="142"/>
      <c r="H286" s="46">
        <v>71175.0</v>
      </c>
      <c r="I286" s="37">
        <v>0.0</v>
      </c>
      <c r="J286" s="37">
        <v>63484.0</v>
      </c>
      <c r="K286" s="29">
        <f t="shared" si="2"/>
        <v>291675</v>
      </c>
    </row>
    <row r="287">
      <c r="A287" s="22"/>
      <c r="B287" s="69">
        <v>46089.0</v>
      </c>
      <c r="C287" s="70" t="s">
        <v>32</v>
      </c>
      <c r="D287" s="42">
        <v>28536.0</v>
      </c>
      <c r="E287" s="30">
        <v>19532.0</v>
      </c>
      <c r="F287" s="141"/>
      <c r="G287" s="142"/>
      <c r="H287" s="46">
        <v>22396.0</v>
      </c>
      <c r="I287" s="37">
        <v>12454.0</v>
      </c>
      <c r="J287" s="37">
        <v>14618.0</v>
      </c>
      <c r="K287" s="29">
        <f t="shared" si="2"/>
        <v>97536</v>
      </c>
    </row>
    <row r="288">
      <c r="A288" s="22"/>
      <c r="B288" s="69">
        <v>46120.0</v>
      </c>
      <c r="C288" s="70" t="s">
        <v>34</v>
      </c>
      <c r="D288" s="42">
        <v>25290.0</v>
      </c>
      <c r="E288" s="30">
        <v>19605.0</v>
      </c>
      <c r="F288" s="141"/>
      <c r="G288" s="142"/>
      <c r="H288" s="46">
        <v>31525.0</v>
      </c>
      <c r="I288" s="37">
        <v>13035.0</v>
      </c>
      <c r="J288" s="37">
        <v>20450.0</v>
      </c>
      <c r="K288" s="29">
        <f t="shared" si="2"/>
        <v>109905</v>
      </c>
    </row>
    <row r="289">
      <c r="A289" s="22"/>
      <c r="B289" s="69">
        <v>46150.0</v>
      </c>
      <c r="C289" s="70" t="s">
        <v>35</v>
      </c>
      <c r="D289" s="42">
        <v>31949.0</v>
      </c>
      <c r="E289" s="30">
        <v>23141.0</v>
      </c>
      <c r="F289" s="141"/>
      <c r="G289" s="142"/>
      <c r="H289" s="146">
        <v>33451.0</v>
      </c>
      <c r="I289" s="42">
        <v>17376.0</v>
      </c>
      <c r="J289" s="37">
        <v>16942.0</v>
      </c>
      <c r="K289" s="29">
        <f t="shared" si="2"/>
        <v>122859</v>
      </c>
    </row>
    <row r="290">
      <c r="A290" s="22"/>
      <c r="B290" s="69">
        <v>46181.0</v>
      </c>
      <c r="C290" s="70" t="s">
        <v>36</v>
      </c>
      <c r="D290" s="42">
        <v>32292.0</v>
      </c>
      <c r="E290" s="30">
        <v>29320.0</v>
      </c>
      <c r="F290" s="141"/>
      <c r="G290" s="63"/>
      <c r="H290" s="146">
        <v>36718.0</v>
      </c>
      <c r="I290" s="42">
        <v>22405.0</v>
      </c>
      <c r="J290" s="37">
        <v>22468.0</v>
      </c>
      <c r="K290" s="29">
        <f t="shared" si="2"/>
        <v>143203</v>
      </c>
    </row>
    <row r="291">
      <c r="A291" s="22"/>
      <c r="B291" s="69">
        <v>46211.0</v>
      </c>
      <c r="C291" s="70" t="s">
        <v>30</v>
      </c>
      <c r="D291" s="42">
        <v>11237.0</v>
      </c>
      <c r="E291" s="30">
        <v>11237.0</v>
      </c>
      <c r="F291" s="141"/>
      <c r="G291" s="63"/>
      <c r="H291" s="146">
        <v>18287.0</v>
      </c>
      <c r="I291" s="42">
        <v>8844.0</v>
      </c>
      <c r="J291" s="37">
        <v>10226.0</v>
      </c>
      <c r="K291" s="29">
        <f t="shared" si="2"/>
        <v>59831</v>
      </c>
    </row>
    <row r="292">
      <c r="A292" s="22"/>
      <c r="B292" s="69">
        <v>46242.0</v>
      </c>
      <c r="C292" s="70" t="s">
        <v>29</v>
      </c>
      <c r="D292" s="42">
        <v>68603.0</v>
      </c>
      <c r="E292" s="30">
        <v>53636.0</v>
      </c>
      <c r="F292" s="141"/>
      <c r="G292" s="63"/>
      <c r="H292" s="146">
        <v>70461.0</v>
      </c>
      <c r="I292" s="42">
        <v>35024.0</v>
      </c>
      <c r="J292" s="37">
        <v>39620.0</v>
      </c>
      <c r="K292" s="29">
        <f t="shared" si="2"/>
        <v>267344</v>
      </c>
    </row>
    <row r="293">
      <c r="A293" s="22"/>
      <c r="B293" s="69">
        <v>46273.0</v>
      </c>
      <c r="C293" s="70" t="s">
        <v>31</v>
      </c>
      <c r="D293" s="42">
        <v>91512.0</v>
      </c>
      <c r="E293" s="30">
        <v>54024.0</v>
      </c>
      <c r="F293" s="141"/>
      <c r="G293" s="63"/>
      <c r="H293" s="146">
        <v>67965.0</v>
      </c>
      <c r="I293" s="42">
        <v>30642.0</v>
      </c>
      <c r="J293" s="37">
        <v>64065.0</v>
      </c>
      <c r="K293" s="29">
        <f t="shared" si="2"/>
        <v>308208</v>
      </c>
    </row>
    <row r="294">
      <c r="A294" s="22"/>
      <c r="B294" s="69">
        <v>46303.0</v>
      </c>
      <c r="C294" s="70" t="s">
        <v>32</v>
      </c>
      <c r="D294" s="42">
        <v>15942.0</v>
      </c>
      <c r="E294" s="30">
        <v>12029.0</v>
      </c>
      <c r="F294" s="141"/>
      <c r="G294" s="63"/>
      <c r="H294" s="146">
        <v>22293.0</v>
      </c>
      <c r="I294" s="42">
        <v>7615.0</v>
      </c>
      <c r="J294" s="37">
        <v>18186.0</v>
      </c>
      <c r="K294" s="29">
        <f t="shared" si="2"/>
        <v>76065</v>
      </c>
    </row>
    <row r="295">
      <c r="A295" s="22"/>
      <c r="B295" s="69">
        <v>46334.0</v>
      </c>
      <c r="C295" s="70" t="s">
        <v>34</v>
      </c>
      <c r="D295" s="41">
        <v>34025.0</v>
      </c>
      <c r="E295" s="30">
        <v>18337.0</v>
      </c>
      <c r="F295" s="141"/>
      <c r="G295" s="63"/>
      <c r="H295" s="41">
        <v>30867.0</v>
      </c>
      <c r="I295" s="37">
        <v>14247.0</v>
      </c>
      <c r="J295" s="37">
        <v>20391.0</v>
      </c>
      <c r="K295" s="29">
        <f t="shared" si="2"/>
        <v>117867</v>
      </c>
    </row>
    <row r="296">
      <c r="A296" s="22"/>
      <c r="B296" s="69">
        <v>46364.0</v>
      </c>
      <c r="C296" s="70" t="s">
        <v>35</v>
      </c>
      <c r="D296" s="41">
        <v>25212.0</v>
      </c>
      <c r="E296" s="30">
        <v>15196.0</v>
      </c>
      <c r="F296" s="141"/>
      <c r="G296" s="63"/>
      <c r="H296" s="41">
        <v>23618.0</v>
      </c>
      <c r="I296" s="37">
        <v>8647.0</v>
      </c>
      <c r="J296" s="37">
        <v>14106.0</v>
      </c>
      <c r="K296" s="29">
        <f t="shared" si="2"/>
        <v>86779</v>
      </c>
    </row>
    <row r="297">
      <c r="A297" s="22"/>
      <c r="B297" s="71" t="s">
        <v>115</v>
      </c>
      <c r="C297" s="70" t="s">
        <v>36</v>
      </c>
      <c r="D297" s="41">
        <v>22628.0</v>
      </c>
      <c r="E297" s="30">
        <v>21164.0</v>
      </c>
      <c r="F297" s="141"/>
      <c r="G297" s="130"/>
      <c r="H297" s="45">
        <v>27666.0</v>
      </c>
      <c r="I297" s="42">
        <v>13399.0</v>
      </c>
      <c r="J297" s="37">
        <v>22049.0</v>
      </c>
      <c r="K297" s="29">
        <f t="shared" si="2"/>
        <v>106906</v>
      </c>
    </row>
    <row r="298">
      <c r="A298" s="22"/>
      <c r="B298" s="71" t="s">
        <v>116</v>
      </c>
      <c r="C298" s="70" t="s">
        <v>30</v>
      </c>
      <c r="D298" s="41">
        <v>38855.0</v>
      </c>
      <c r="E298" s="30">
        <v>22133.0</v>
      </c>
      <c r="F298" s="41"/>
      <c r="G298" s="130"/>
      <c r="H298" s="41">
        <v>35698.0</v>
      </c>
      <c r="I298" s="37">
        <v>12665.0</v>
      </c>
      <c r="J298" s="37">
        <v>26150.0</v>
      </c>
      <c r="K298" s="29">
        <f t="shared" si="2"/>
        <v>135501</v>
      </c>
    </row>
    <row r="299">
      <c r="A299" s="22"/>
      <c r="B299" s="71" t="s">
        <v>118</v>
      </c>
      <c r="C299" s="70" t="s">
        <v>29</v>
      </c>
      <c r="D299" s="41">
        <v>59614.0</v>
      </c>
      <c r="E299" s="42">
        <v>51436.0</v>
      </c>
      <c r="F299" s="41"/>
      <c r="G299" s="130"/>
      <c r="H299" s="41">
        <v>65644.0</v>
      </c>
      <c r="I299" s="37">
        <v>23900.0</v>
      </c>
      <c r="J299" s="37">
        <v>55837.0</v>
      </c>
      <c r="K299" s="29">
        <f t="shared" si="2"/>
        <v>256431</v>
      </c>
    </row>
    <row r="300">
      <c r="A300" s="22"/>
      <c r="B300" s="71" t="s">
        <v>120</v>
      </c>
      <c r="C300" s="70" t="s">
        <v>31</v>
      </c>
      <c r="D300" s="41">
        <v>67860.0</v>
      </c>
      <c r="E300" s="42">
        <v>55589.0</v>
      </c>
      <c r="F300" s="41"/>
      <c r="G300" s="130"/>
      <c r="H300" s="41">
        <v>75669.0</v>
      </c>
      <c r="I300" s="37">
        <v>25144.0</v>
      </c>
      <c r="J300" s="37">
        <v>57740.0</v>
      </c>
      <c r="K300" s="29">
        <f t="shared" si="2"/>
        <v>282002</v>
      </c>
    </row>
    <row r="301">
      <c r="A301" s="22"/>
      <c r="B301" s="71" t="s">
        <v>122</v>
      </c>
      <c r="C301" s="70" t="s">
        <v>32</v>
      </c>
      <c r="D301" s="41">
        <v>18951.0</v>
      </c>
      <c r="E301" s="42">
        <v>17101.0</v>
      </c>
      <c r="F301" s="41"/>
      <c r="G301" s="130"/>
      <c r="H301" s="41">
        <v>13841.0</v>
      </c>
      <c r="I301" s="37">
        <v>5420.0</v>
      </c>
      <c r="J301" s="37">
        <v>15014.0</v>
      </c>
      <c r="K301" s="29">
        <f t="shared" si="2"/>
        <v>70327</v>
      </c>
    </row>
    <row r="302">
      <c r="A302" s="22"/>
      <c r="B302" s="71" t="s">
        <v>123</v>
      </c>
      <c r="C302" s="70" t="s">
        <v>34</v>
      </c>
      <c r="D302" s="42">
        <v>25300.0</v>
      </c>
      <c r="E302" s="42">
        <v>17108.0</v>
      </c>
      <c r="F302" s="41"/>
      <c r="G302" s="63"/>
      <c r="H302" s="41">
        <v>20815.0</v>
      </c>
      <c r="I302" s="37">
        <v>6254.0</v>
      </c>
      <c r="J302" s="37">
        <v>18246.0</v>
      </c>
      <c r="K302" s="29">
        <f t="shared" si="2"/>
        <v>87723</v>
      </c>
    </row>
    <row r="303">
      <c r="A303" s="22"/>
      <c r="B303" s="71" t="s">
        <v>124</v>
      </c>
      <c r="C303" s="70" t="s">
        <v>35</v>
      </c>
      <c r="D303" s="42">
        <v>25023.0</v>
      </c>
      <c r="E303" s="42">
        <v>14253.0</v>
      </c>
      <c r="F303" s="41"/>
      <c r="G303" s="47"/>
      <c r="H303" s="41">
        <v>23788.0</v>
      </c>
      <c r="I303" s="37">
        <v>8450.0</v>
      </c>
      <c r="J303" s="37">
        <v>18001.0</v>
      </c>
      <c r="K303" s="29">
        <f t="shared" si="2"/>
        <v>89515</v>
      </c>
    </row>
    <row r="304">
      <c r="A304" s="22"/>
      <c r="B304" s="71" t="s">
        <v>125</v>
      </c>
      <c r="C304" s="70" t="s">
        <v>36</v>
      </c>
      <c r="D304" s="42">
        <v>20441.0</v>
      </c>
      <c r="E304" s="42">
        <v>13329.0</v>
      </c>
      <c r="F304" s="41"/>
      <c r="G304" s="47"/>
      <c r="H304" s="41">
        <v>28497.0</v>
      </c>
      <c r="I304" s="37">
        <v>4852.0</v>
      </c>
      <c r="J304" s="37">
        <v>17310.0</v>
      </c>
      <c r="K304" s="29">
        <f t="shared" si="2"/>
        <v>84429</v>
      </c>
    </row>
    <row r="305">
      <c r="A305" s="22"/>
      <c r="B305" s="71" t="s">
        <v>127</v>
      </c>
      <c r="C305" s="70" t="s">
        <v>30</v>
      </c>
      <c r="D305" s="131">
        <v>33133.0</v>
      </c>
      <c r="E305" s="131">
        <v>21241.0</v>
      </c>
      <c r="F305" s="41"/>
      <c r="G305" s="145"/>
      <c r="H305" s="41">
        <v>31962.0</v>
      </c>
      <c r="I305" s="37">
        <v>11276.0</v>
      </c>
      <c r="J305" s="37">
        <v>22191.0</v>
      </c>
      <c r="K305" s="29">
        <f t="shared" si="2"/>
        <v>119803</v>
      </c>
    </row>
    <row r="306">
      <c r="A306" s="22"/>
      <c r="B306" s="71" t="s">
        <v>147</v>
      </c>
      <c r="C306" s="70" t="s">
        <v>29</v>
      </c>
      <c r="D306" s="148">
        <v>74340.0</v>
      </c>
      <c r="E306" s="131">
        <v>50425.0</v>
      </c>
      <c r="F306" s="41"/>
      <c r="G306" s="145"/>
      <c r="H306" s="41">
        <v>61793.0</v>
      </c>
      <c r="I306" s="51">
        <v>24969.0</v>
      </c>
      <c r="J306" s="51">
        <v>50678.0</v>
      </c>
      <c r="K306" s="29">
        <f t="shared" si="2"/>
        <v>262205</v>
      </c>
    </row>
    <row r="307">
      <c r="A307" s="22"/>
      <c r="B307" s="71" t="s">
        <v>148</v>
      </c>
      <c r="C307" s="70" t="s">
        <v>31</v>
      </c>
      <c r="D307" s="148">
        <v>77296.0</v>
      </c>
      <c r="E307" s="131">
        <v>42084.0</v>
      </c>
      <c r="F307" s="41"/>
      <c r="G307" s="145"/>
      <c r="H307" s="41">
        <v>68861.0</v>
      </c>
      <c r="I307" s="51">
        <v>39028.0</v>
      </c>
      <c r="J307" s="51">
        <v>60621.0</v>
      </c>
      <c r="K307" s="29">
        <f t="shared" si="2"/>
        <v>287890</v>
      </c>
    </row>
    <row r="308">
      <c r="A308" s="22"/>
      <c r="B308" s="71" t="s">
        <v>150</v>
      </c>
      <c r="C308" s="70" t="s">
        <v>32</v>
      </c>
      <c r="D308" s="148">
        <v>24032.0</v>
      </c>
      <c r="E308" s="131">
        <v>13909.0</v>
      </c>
      <c r="F308" s="41"/>
      <c r="G308" s="145"/>
      <c r="H308" s="41">
        <v>22124.0</v>
      </c>
      <c r="I308" s="51">
        <v>7827.0</v>
      </c>
      <c r="J308" s="51">
        <v>10310.0</v>
      </c>
      <c r="K308" s="29">
        <f t="shared" si="2"/>
        <v>78202</v>
      </c>
    </row>
    <row r="309">
      <c r="A309" s="22"/>
      <c r="B309" s="71" t="s">
        <v>151</v>
      </c>
      <c r="C309" s="70" t="s">
        <v>34</v>
      </c>
      <c r="D309" s="132">
        <v>34946.0</v>
      </c>
      <c r="E309" s="132">
        <v>20671.0</v>
      </c>
      <c r="F309" s="41"/>
      <c r="G309" s="132"/>
      <c r="H309" s="41">
        <v>36921.0</v>
      </c>
      <c r="I309" s="51">
        <v>10568.0</v>
      </c>
      <c r="J309" s="51">
        <v>18045.0</v>
      </c>
      <c r="K309" s="29">
        <f t="shared" si="2"/>
        <v>121151</v>
      </c>
    </row>
    <row r="310">
      <c r="A310" s="22"/>
      <c r="B310" s="71" t="s">
        <v>152</v>
      </c>
      <c r="C310" s="70" t="s">
        <v>35</v>
      </c>
      <c r="D310" s="132">
        <v>40775.0</v>
      </c>
      <c r="E310" s="132">
        <v>18901.0</v>
      </c>
      <c r="F310" s="41"/>
      <c r="G310" s="132"/>
      <c r="H310" s="41">
        <v>46505.0</v>
      </c>
      <c r="I310" s="51">
        <v>20810.0</v>
      </c>
      <c r="J310" s="51">
        <v>25544.0</v>
      </c>
      <c r="K310" s="29">
        <f t="shared" si="2"/>
        <v>152535</v>
      </c>
    </row>
    <row r="311">
      <c r="A311" s="22"/>
      <c r="B311" s="71" t="s">
        <v>153</v>
      </c>
      <c r="C311" s="70" t="s">
        <v>36</v>
      </c>
      <c r="D311" s="132">
        <v>31476.0</v>
      </c>
      <c r="E311" s="132">
        <v>19909.0</v>
      </c>
      <c r="F311" s="41"/>
      <c r="G311" s="132"/>
      <c r="H311" s="41">
        <v>45803.0</v>
      </c>
      <c r="I311" s="51">
        <v>19463.0</v>
      </c>
      <c r="J311" s="51">
        <v>24714.0</v>
      </c>
      <c r="K311" s="29">
        <f t="shared" si="2"/>
        <v>141365</v>
      </c>
    </row>
    <row r="312">
      <c r="A312" s="22"/>
      <c r="B312" s="71" t="s">
        <v>154</v>
      </c>
      <c r="C312" s="70" t="s">
        <v>30</v>
      </c>
      <c r="D312" s="132">
        <v>38186.0</v>
      </c>
      <c r="E312" s="132">
        <v>25246.0</v>
      </c>
      <c r="F312" s="132"/>
      <c r="G312" s="132"/>
      <c r="H312" s="41">
        <v>43276.0</v>
      </c>
      <c r="I312" s="51">
        <v>24206.0</v>
      </c>
      <c r="J312" s="51">
        <v>30507.0</v>
      </c>
      <c r="K312" s="29">
        <f t="shared" si="2"/>
        <v>161421</v>
      </c>
    </row>
    <row r="313">
      <c r="A313" s="22"/>
      <c r="B313" s="71" t="s">
        <v>156</v>
      </c>
      <c r="C313" s="70" t="s">
        <v>29</v>
      </c>
      <c r="D313" s="132">
        <v>51044.0</v>
      </c>
      <c r="E313" s="132">
        <v>29242.0</v>
      </c>
      <c r="F313" s="46"/>
      <c r="G313" s="132"/>
      <c r="H313" s="41">
        <v>46291.0</v>
      </c>
      <c r="I313" s="51">
        <v>20304.0</v>
      </c>
      <c r="J313" s="51">
        <v>31361.0</v>
      </c>
      <c r="K313" s="29">
        <f t="shared" si="2"/>
        <v>178242</v>
      </c>
    </row>
    <row r="314">
      <c r="A314" s="22"/>
      <c r="B314" s="71" t="s">
        <v>158</v>
      </c>
      <c r="C314" s="70" t="s">
        <v>31</v>
      </c>
      <c r="D314" s="132">
        <v>52899.0</v>
      </c>
      <c r="E314" s="132">
        <v>28117.0</v>
      </c>
      <c r="F314" s="43"/>
      <c r="G314" s="132"/>
      <c r="H314" s="43">
        <v>52673.0</v>
      </c>
      <c r="I314" s="51">
        <v>24450.0</v>
      </c>
      <c r="J314" s="51">
        <v>28041.0</v>
      </c>
      <c r="K314" s="29">
        <f t="shared" si="2"/>
        <v>186180</v>
      </c>
    </row>
    <row r="315">
      <c r="A315" s="22"/>
      <c r="B315" s="71" t="s">
        <v>161</v>
      </c>
      <c r="C315" s="70" t="s">
        <v>32</v>
      </c>
      <c r="D315" s="134">
        <v>19605.0</v>
      </c>
      <c r="E315" s="134">
        <v>13535.0</v>
      </c>
      <c r="F315" s="43"/>
      <c r="G315" s="134"/>
      <c r="H315" s="43">
        <v>21170.0</v>
      </c>
      <c r="I315" s="51">
        <v>7455.0</v>
      </c>
      <c r="J315" s="51">
        <v>16624.0</v>
      </c>
      <c r="K315" s="29">
        <f t="shared" si="2"/>
        <v>78389</v>
      </c>
    </row>
    <row r="316">
      <c r="A316" s="49"/>
      <c r="B316" s="78"/>
      <c r="C316" s="79"/>
      <c r="D316" s="66">
        <f t="shared" ref="D316:J316" si="6">SUM(D285:D315)</f>
        <v>1310182</v>
      </c>
      <c r="E316" s="66">
        <f t="shared" si="6"/>
        <v>883351</v>
      </c>
      <c r="F316" s="66">
        <f t="shared" si="6"/>
        <v>0</v>
      </c>
      <c r="G316" s="66">
        <f t="shared" si="6"/>
        <v>0</v>
      </c>
      <c r="H316" s="66">
        <f t="shared" si="6"/>
        <v>1282058</v>
      </c>
      <c r="I316" s="66">
        <f t="shared" si="6"/>
        <v>480729</v>
      </c>
      <c r="J316" s="66">
        <f t="shared" si="6"/>
        <v>914937</v>
      </c>
      <c r="K316" s="29">
        <f t="shared" si="2"/>
        <v>4871257</v>
      </c>
    </row>
    <row r="317">
      <c r="A317" s="60" t="s">
        <v>174</v>
      </c>
      <c r="B317" s="69">
        <v>46031.0</v>
      </c>
      <c r="C317" s="70" t="s">
        <v>34</v>
      </c>
      <c r="D317" s="42">
        <v>17549.0</v>
      </c>
      <c r="E317" s="30">
        <v>9232.0</v>
      </c>
      <c r="F317" s="138"/>
      <c r="G317" s="142"/>
      <c r="H317" s="46">
        <v>20718.0</v>
      </c>
      <c r="I317" s="37">
        <v>7287.0</v>
      </c>
      <c r="J317" s="37">
        <v>8898.0</v>
      </c>
      <c r="K317" s="29">
        <f t="shared" si="2"/>
        <v>63684</v>
      </c>
    </row>
    <row r="318">
      <c r="A318" s="22"/>
      <c r="B318" s="69">
        <v>46062.0</v>
      </c>
      <c r="C318" s="70" t="s">
        <v>35</v>
      </c>
      <c r="D318" s="42">
        <v>29793.0</v>
      </c>
      <c r="E318" s="30">
        <v>18699.0</v>
      </c>
      <c r="F318" s="141"/>
      <c r="G318" s="142"/>
      <c r="H318" s="46">
        <v>24881.0</v>
      </c>
      <c r="I318" s="37">
        <v>8232.0</v>
      </c>
      <c r="J318" s="37">
        <v>12509.0</v>
      </c>
      <c r="K318" s="29">
        <f t="shared" si="2"/>
        <v>94114</v>
      </c>
    </row>
    <row r="319">
      <c r="A319" s="22"/>
      <c r="B319" s="69">
        <v>46090.0</v>
      </c>
      <c r="C319" s="70" t="s">
        <v>36</v>
      </c>
      <c r="D319" s="42">
        <v>20814.0</v>
      </c>
      <c r="E319" s="30">
        <v>20072.0</v>
      </c>
      <c r="F319" s="141"/>
      <c r="G319" s="142"/>
      <c r="H319" s="46">
        <v>23674.0</v>
      </c>
      <c r="I319" s="37">
        <v>18225.0</v>
      </c>
      <c r="J319" s="37">
        <v>15119.0</v>
      </c>
      <c r="K319" s="29">
        <f t="shared" si="2"/>
        <v>97904</v>
      </c>
    </row>
    <row r="320">
      <c r="A320" s="22"/>
      <c r="B320" s="69">
        <v>46121.0</v>
      </c>
      <c r="C320" s="70" t="s">
        <v>30</v>
      </c>
      <c r="D320" s="42">
        <v>23498.0</v>
      </c>
      <c r="E320" s="30">
        <v>14672.0</v>
      </c>
      <c r="F320" s="141"/>
      <c r="G320" s="142"/>
      <c r="H320" s="46">
        <v>23200.0</v>
      </c>
      <c r="I320" s="37">
        <v>10817.0</v>
      </c>
      <c r="J320" s="37">
        <v>14340.0</v>
      </c>
      <c r="K320" s="29">
        <f t="shared" si="2"/>
        <v>86527</v>
      </c>
    </row>
    <row r="321">
      <c r="A321" s="22"/>
      <c r="B321" s="69">
        <v>46151.0</v>
      </c>
      <c r="C321" s="70" t="s">
        <v>29</v>
      </c>
      <c r="D321" s="42">
        <v>60927.0</v>
      </c>
      <c r="E321" s="30">
        <v>33009.0</v>
      </c>
      <c r="F321" s="141"/>
      <c r="G321" s="142"/>
      <c r="H321" s="146">
        <v>70615.0</v>
      </c>
      <c r="I321" s="42">
        <v>34184.0</v>
      </c>
      <c r="J321" s="37">
        <v>34250.0</v>
      </c>
      <c r="K321" s="29">
        <f t="shared" si="2"/>
        <v>232985</v>
      </c>
    </row>
    <row r="322">
      <c r="A322" s="22"/>
      <c r="B322" s="69">
        <v>46182.0</v>
      </c>
      <c r="C322" s="70" t="s">
        <v>31</v>
      </c>
      <c r="D322" s="42">
        <v>74767.0</v>
      </c>
      <c r="E322" s="30">
        <v>41148.0</v>
      </c>
      <c r="F322" s="141"/>
      <c r="G322" s="63"/>
      <c r="H322" s="146">
        <v>60464.0</v>
      </c>
      <c r="I322" s="42">
        <v>32988.0</v>
      </c>
      <c r="J322" s="37">
        <v>43877.0</v>
      </c>
      <c r="K322" s="29">
        <f t="shared" si="2"/>
        <v>253244</v>
      </c>
    </row>
    <row r="323">
      <c r="A323" s="22"/>
      <c r="B323" s="69">
        <v>46212.0</v>
      </c>
      <c r="C323" s="70" t="s">
        <v>32</v>
      </c>
      <c r="D323" s="42">
        <v>30850.0</v>
      </c>
      <c r="E323" s="30">
        <v>10691.0</v>
      </c>
      <c r="F323" s="141"/>
      <c r="G323" s="63"/>
      <c r="H323" s="146">
        <v>26623.0</v>
      </c>
      <c r="I323" s="42">
        <v>10929.0</v>
      </c>
      <c r="J323" s="37">
        <v>17098.0</v>
      </c>
      <c r="K323" s="29">
        <f t="shared" si="2"/>
        <v>96191</v>
      </c>
    </row>
    <row r="324">
      <c r="A324" s="22"/>
      <c r="B324" s="69">
        <v>46243.0</v>
      </c>
      <c r="C324" s="70" t="s">
        <v>34</v>
      </c>
      <c r="D324" s="42">
        <v>27872.0</v>
      </c>
      <c r="E324" s="30">
        <v>10921.0</v>
      </c>
      <c r="F324" s="141"/>
      <c r="G324" s="63"/>
      <c r="H324" s="146">
        <v>22882.0</v>
      </c>
      <c r="I324" s="42">
        <v>10178.0</v>
      </c>
      <c r="J324" s="37">
        <v>15046.0</v>
      </c>
      <c r="K324" s="29">
        <f t="shared" si="2"/>
        <v>86899</v>
      </c>
    </row>
    <row r="325">
      <c r="A325" s="22"/>
      <c r="B325" s="69">
        <v>47370.0</v>
      </c>
      <c r="C325" s="70" t="s">
        <v>35</v>
      </c>
      <c r="D325" s="42">
        <v>28175.0</v>
      </c>
      <c r="E325" s="30">
        <v>14003.0</v>
      </c>
      <c r="F325" s="141"/>
      <c r="G325" s="63"/>
      <c r="H325" s="146">
        <v>23179.0</v>
      </c>
      <c r="I325" s="42">
        <v>12464.0</v>
      </c>
      <c r="J325" s="37">
        <v>11216.0</v>
      </c>
      <c r="K325" s="29">
        <f t="shared" si="2"/>
        <v>89037</v>
      </c>
    </row>
    <row r="326">
      <c r="A326" s="22"/>
      <c r="B326" s="69">
        <v>46304.0</v>
      </c>
      <c r="C326" s="70" t="s">
        <v>36</v>
      </c>
      <c r="D326" s="42">
        <v>26677.0</v>
      </c>
      <c r="E326" s="30">
        <v>17230.0</v>
      </c>
      <c r="F326" s="141"/>
      <c r="G326" s="63"/>
      <c r="H326" s="146">
        <v>25496.0</v>
      </c>
      <c r="I326" s="62">
        <v>9989.0</v>
      </c>
      <c r="J326" s="37">
        <v>11639.0</v>
      </c>
      <c r="K326" s="29">
        <f t="shared" si="2"/>
        <v>91031</v>
      </c>
    </row>
    <row r="327">
      <c r="A327" s="22"/>
      <c r="B327" s="69">
        <v>46335.0</v>
      </c>
      <c r="C327" s="70" t="s">
        <v>30</v>
      </c>
      <c r="D327" s="149">
        <v>35131.0</v>
      </c>
      <c r="E327" s="30">
        <v>22769.0</v>
      </c>
      <c r="F327" s="141"/>
      <c r="G327" s="63"/>
      <c r="H327" s="41">
        <v>36613.0</v>
      </c>
      <c r="I327" s="37">
        <v>18637.0</v>
      </c>
      <c r="J327" s="37">
        <v>22327.0</v>
      </c>
      <c r="K327" s="150">
        <f t="shared" si="2"/>
        <v>135477</v>
      </c>
    </row>
    <row r="328">
      <c r="A328" s="22"/>
      <c r="B328" s="69">
        <v>46365.0</v>
      </c>
      <c r="C328" s="70" t="s">
        <v>29</v>
      </c>
      <c r="D328" s="41">
        <v>74337.0</v>
      </c>
      <c r="E328" s="30">
        <v>41066.0</v>
      </c>
      <c r="F328" s="141"/>
      <c r="G328" s="63"/>
      <c r="H328" s="41">
        <v>71907.0</v>
      </c>
      <c r="I328" s="37">
        <v>24739.0</v>
      </c>
      <c r="J328" s="37">
        <v>36125.0</v>
      </c>
      <c r="K328" s="29">
        <f t="shared" si="2"/>
        <v>248174</v>
      </c>
    </row>
    <row r="329">
      <c r="A329" s="22"/>
      <c r="B329" s="71" t="s">
        <v>176</v>
      </c>
      <c r="C329" s="70" t="s">
        <v>31</v>
      </c>
      <c r="D329" s="41">
        <v>66843.0</v>
      </c>
      <c r="E329" s="30">
        <v>42637.0</v>
      </c>
      <c r="F329" s="141"/>
      <c r="G329" s="130"/>
      <c r="H329" s="45">
        <v>58970.0</v>
      </c>
      <c r="I329" s="42">
        <v>28271.0</v>
      </c>
      <c r="J329" s="37">
        <v>47519.0</v>
      </c>
      <c r="K329" s="29">
        <f t="shared" si="2"/>
        <v>244240</v>
      </c>
    </row>
    <row r="330">
      <c r="A330" s="22"/>
      <c r="B330" s="71" t="s">
        <v>178</v>
      </c>
      <c r="C330" s="70" t="s">
        <v>32</v>
      </c>
      <c r="D330" s="41">
        <v>26863.0</v>
      </c>
      <c r="E330" s="30">
        <v>15761.0</v>
      </c>
      <c r="F330" s="41"/>
      <c r="G330" s="130"/>
      <c r="H330" s="41">
        <v>19474.0</v>
      </c>
      <c r="I330" s="37">
        <v>10358.0</v>
      </c>
      <c r="J330" s="37">
        <v>16891.0</v>
      </c>
      <c r="K330" s="29">
        <f t="shared" si="2"/>
        <v>89347</v>
      </c>
    </row>
    <row r="331">
      <c r="A331" s="22"/>
      <c r="B331" s="71" t="s">
        <v>180</v>
      </c>
      <c r="C331" s="70" t="s">
        <v>34</v>
      </c>
      <c r="D331" s="41">
        <v>26429.0</v>
      </c>
      <c r="E331" s="42">
        <v>13098.0</v>
      </c>
      <c r="F331" s="41"/>
      <c r="G331" s="130"/>
      <c r="H331" s="41">
        <v>19607.0</v>
      </c>
      <c r="I331" s="37">
        <v>9022.0</v>
      </c>
      <c r="J331" s="37">
        <v>15609.0</v>
      </c>
      <c r="K331" s="29">
        <f t="shared" si="2"/>
        <v>83765</v>
      </c>
    </row>
    <row r="332">
      <c r="A332" s="22"/>
      <c r="B332" s="71" t="s">
        <v>182</v>
      </c>
      <c r="C332" s="70" t="s">
        <v>35</v>
      </c>
      <c r="D332" s="41">
        <v>15839.0</v>
      </c>
      <c r="E332" s="42">
        <v>16419.0</v>
      </c>
      <c r="F332" s="41"/>
      <c r="G332" s="130"/>
      <c r="H332" s="41">
        <v>26386.0</v>
      </c>
      <c r="I332" s="37">
        <v>7401.0</v>
      </c>
      <c r="J332" s="37">
        <v>13813.0</v>
      </c>
      <c r="K332" s="29">
        <f t="shared" si="2"/>
        <v>79858</v>
      </c>
    </row>
    <row r="333">
      <c r="A333" s="22"/>
      <c r="B333" s="71" t="s">
        <v>184</v>
      </c>
      <c r="C333" s="70" t="s">
        <v>36</v>
      </c>
      <c r="D333" s="41">
        <v>31967.0</v>
      </c>
      <c r="E333" s="42">
        <v>18297.0</v>
      </c>
      <c r="F333" s="41"/>
      <c r="G333" s="130"/>
      <c r="H333" s="41">
        <v>29457.0</v>
      </c>
      <c r="I333" s="37">
        <v>9847.0</v>
      </c>
      <c r="J333" s="37">
        <v>19442.0</v>
      </c>
      <c r="K333" s="29">
        <f t="shared" si="2"/>
        <v>109010</v>
      </c>
    </row>
    <row r="334">
      <c r="A334" s="22"/>
      <c r="B334" s="71" t="s">
        <v>186</v>
      </c>
      <c r="C334" s="70" t="s">
        <v>30</v>
      </c>
      <c r="D334" s="42">
        <v>33719.0</v>
      </c>
      <c r="E334" s="42">
        <v>21398.0</v>
      </c>
      <c r="F334" s="41"/>
      <c r="G334" s="63"/>
      <c r="H334" s="41">
        <v>27581.0</v>
      </c>
      <c r="I334" s="37">
        <v>21331.0</v>
      </c>
      <c r="J334" s="37">
        <v>19409.0</v>
      </c>
      <c r="K334" s="29">
        <f t="shared" si="2"/>
        <v>123438</v>
      </c>
    </row>
    <row r="335">
      <c r="A335" s="22"/>
      <c r="B335" s="71" t="s">
        <v>188</v>
      </c>
      <c r="C335" s="70" t="s">
        <v>29</v>
      </c>
      <c r="D335" s="42">
        <v>59554.0</v>
      </c>
      <c r="E335" s="42">
        <v>40918.0</v>
      </c>
      <c r="F335" s="41"/>
      <c r="G335" s="47"/>
      <c r="H335" s="41">
        <v>60816.0</v>
      </c>
      <c r="I335" s="37">
        <v>30348.0</v>
      </c>
      <c r="J335" s="37">
        <v>37412.0</v>
      </c>
      <c r="K335" s="29">
        <f t="shared" si="2"/>
        <v>229048</v>
      </c>
    </row>
    <row r="336">
      <c r="A336" s="22"/>
      <c r="B336" s="71" t="s">
        <v>190</v>
      </c>
      <c r="C336" s="70" t="s">
        <v>31</v>
      </c>
      <c r="D336" s="42">
        <v>54917.0</v>
      </c>
      <c r="E336" s="42">
        <v>47545.0</v>
      </c>
      <c r="F336" s="41"/>
      <c r="G336" s="47"/>
      <c r="H336" s="62">
        <v>61324.0</v>
      </c>
      <c r="I336" s="37">
        <v>27138.0</v>
      </c>
      <c r="J336" s="37">
        <v>38553.0</v>
      </c>
      <c r="K336" s="29">
        <f t="shared" si="2"/>
        <v>229477</v>
      </c>
    </row>
    <row r="337">
      <c r="A337" s="22"/>
      <c r="B337" s="71" t="s">
        <v>192</v>
      </c>
      <c r="C337" s="70" t="s">
        <v>32</v>
      </c>
      <c r="D337" s="131">
        <v>19354.0</v>
      </c>
      <c r="E337" s="131">
        <v>15579.0</v>
      </c>
      <c r="F337" s="41"/>
      <c r="G337" s="145"/>
      <c r="H337" s="41"/>
      <c r="I337" s="37">
        <v>9861.0</v>
      </c>
      <c r="J337" s="37">
        <v>13754.0</v>
      </c>
      <c r="K337" s="29">
        <f t="shared" si="2"/>
        <v>58548</v>
      </c>
    </row>
    <row r="338">
      <c r="A338" s="22"/>
      <c r="B338" s="71" t="s">
        <v>194</v>
      </c>
      <c r="C338" s="70" t="s">
        <v>34</v>
      </c>
      <c r="D338" s="148">
        <v>16269.0</v>
      </c>
      <c r="E338" s="131">
        <v>13343.0</v>
      </c>
      <c r="F338" s="41"/>
      <c r="G338" s="145"/>
      <c r="H338" s="41"/>
      <c r="I338" s="51">
        <v>11271.0</v>
      </c>
      <c r="J338" s="51">
        <v>14160.0</v>
      </c>
      <c r="K338" s="29">
        <f t="shared" si="2"/>
        <v>55043</v>
      </c>
    </row>
    <row r="339">
      <c r="A339" s="22"/>
      <c r="B339" s="71" t="s">
        <v>196</v>
      </c>
      <c r="C339" s="70" t="s">
        <v>35</v>
      </c>
      <c r="D339" s="148">
        <v>24649.0</v>
      </c>
      <c r="E339" s="131">
        <v>14269.0</v>
      </c>
      <c r="F339" s="41"/>
      <c r="G339" s="145"/>
      <c r="H339" s="41">
        <v>22359.0</v>
      </c>
      <c r="I339" s="51">
        <v>11312.0</v>
      </c>
      <c r="J339" s="51">
        <v>13856.0</v>
      </c>
      <c r="K339" s="29">
        <f t="shared" si="2"/>
        <v>86445</v>
      </c>
    </row>
    <row r="340">
      <c r="A340" s="22"/>
      <c r="B340" s="71" t="s">
        <v>198</v>
      </c>
      <c r="C340" s="70" t="s">
        <v>36</v>
      </c>
      <c r="D340" s="148">
        <v>28689.0</v>
      </c>
      <c r="E340" s="131">
        <v>14520.0</v>
      </c>
      <c r="F340" s="41"/>
      <c r="G340" s="145"/>
      <c r="H340" s="41"/>
      <c r="I340" s="51">
        <v>14560.0</v>
      </c>
      <c r="J340" s="51">
        <v>23531.0</v>
      </c>
      <c r="K340" s="29">
        <f t="shared" si="2"/>
        <v>81300</v>
      </c>
    </row>
    <row r="341">
      <c r="A341" s="22"/>
      <c r="B341" s="71" t="s">
        <v>199</v>
      </c>
      <c r="C341" s="70" t="s">
        <v>30</v>
      </c>
      <c r="D341" s="132">
        <v>37148.0</v>
      </c>
      <c r="E341" s="132">
        <v>25116.0</v>
      </c>
      <c r="F341" s="41"/>
      <c r="G341" s="132"/>
      <c r="H341" s="41"/>
      <c r="I341" s="51">
        <v>19756.0</v>
      </c>
      <c r="J341" s="51">
        <v>26399.0</v>
      </c>
      <c r="K341" s="29">
        <f t="shared" si="2"/>
        <v>108419</v>
      </c>
    </row>
    <row r="342">
      <c r="A342" s="22"/>
      <c r="B342" s="71" t="s">
        <v>202</v>
      </c>
      <c r="C342" s="70" t="s">
        <v>29</v>
      </c>
      <c r="D342" s="132">
        <v>50635.0</v>
      </c>
      <c r="E342" s="132">
        <v>24420.0</v>
      </c>
      <c r="F342" s="41"/>
      <c r="G342" s="132"/>
      <c r="H342" s="41"/>
      <c r="I342" s="51">
        <v>21682.0</v>
      </c>
      <c r="J342" s="51">
        <v>30988.0</v>
      </c>
      <c r="K342" s="29">
        <f t="shared" si="2"/>
        <v>127725</v>
      </c>
    </row>
    <row r="343">
      <c r="A343" s="22"/>
      <c r="B343" s="71" t="s">
        <v>203</v>
      </c>
      <c r="C343" s="70" t="s">
        <v>31</v>
      </c>
      <c r="D343" s="132">
        <v>78248.0</v>
      </c>
      <c r="E343" s="132">
        <v>40661.0</v>
      </c>
      <c r="F343" s="41"/>
      <c r="G343" s="132"/>
      <c r="H343" s="41"/>
      <c r="I343" s="51">
        <v>53655.0</v>
      </c>
      <c r="J343" s="51">
        <v>60686.0</v>
      </c>
      <c r="K343" s="29">
        <f t="shared" si="2"/>
        <v>233250</v>
      </c>
    </row>
    <row r="344">
      <c r="A344" s="22"/>
      <c r="B344" s="71"/>
      <c r="C344" s="70"/>
      <c r="D344" s="132"/>
      <c r="E344" s="132"/>
      <c r="F344" s="132"/>
      <c r="G344" s="132"/>
      <c r="H344" s="41"/>
      <c r="I344" s="51"/>
      <c r="J344" s="51"/>
      <c r="K344" s="29">
        <f t="shared" si="2"/>
        <v>0</v>
      </c>
    </row>
    <row r="345">
      <c r="A345" s="22"/>
      <c r="B345" s="71"/>
      <c r="C345" s="70"/>
      <c r="D345" s="132"/>
      <c r="E345" s="132"/>
      <c r="F345" s="46"/>
      <c r="G345" s="132"/>
      <c r="H345" s="41"/>
      <c r="I345" s="51"/>
      <c r="J345" s="51"/>
      <c r="K345" s="29">
        <f t="shared" si="2"/>
        <v>0</v>
      </c>
    </row>
    <row r="346">
      <c r="A346" s="22"/>
      <c r="B346" s="71"/>
      <c r="C346" s="70"/>
      <c r="D346" s="132"/>
      <c r="E346" s="132"/>
      <c r="F346" s="43"/>
      <c r="G346" s="132"/>
      <c r="H346" s="43"/>
      <c r="I346" s="51"/>
      <c r="J346" s="51"/>
      <c r="K346" s="29">
        <f t="shared" si="2"/>
        <v>0</v>
      </c>
    </row>
    <row r="347">
      <c r="A347" s="22"/>
      <c r="B347" s="71"/>
      <c r="C347" s="70"/>
      <c r="D347" s="134"/>
      <c r="E347" s="134"/>
      <c r="F347" s="43"/>
      <c r="G347" s="134"/>
      <c r="H347" s="43"/>
      <c r="I347" s="51"/>
      <c r="J347" s="51"/>
      <c r="K347" s="29">
        <f t="shared" si="2"/>
        <v>0</v>
      </c>
    </row>
    <row r="348">
      <c r="A348" s="49"/>
      <c r="B348" s="78"/>
      <c r="C348" s="79"/>
      <c r="D348" s="66">
        <f t="shared" ref="D348:J348" si="7">SUM(D317:D347)</f>
        <v>1021513</v>
      </c>
      <c r="E348" s="66">
        <f t="shared" si="7"/>
        <v>617493</v>
      </c>
      <c r="F348" s="66">
        <f t="shared" si="7"/>
        <v>0</v>
      </c>
      <c r="G348" s="66">
        <f t="shared" si="7"/>
        <v>0</v>
      </c>
      <c r="H348" s="66">
        <f t="shared" si="7"/>
        <v>756226</v>
      </c>
      <c r="I348" s="66">
        <f t="shared" si="7"/>
        <v>484482</v>
      </c>
      <c r="J348" s="66">
        <f t="shared" si="7"/>
        <v>634466</v>
      </c>
      <c r="K348" s="29">
        <f t="shared" si="2"/>
        <v>3514180</v>
      </c>
    </row>
    <row r="349">
      <c r="A349" s="151"/>
      <c r="B349" s="151"/>
      <c r="C349" s="151"/>
    </row>
    <row r="350">
      <c r="A350" s="151"/>
      <c r="B350" s="151"/>
      <c r="C350" s="151"/>
    </row>
    <row r="351">
      <c r="A351" s="151"/>
      <c r="B351" s="151"/>
      <c r="C351" s="151"/>
    </row>
    <row r="352">
      <c r="A352" s="151"/>
      <c r="B352" s="151"/>
      <c r="C352" s="151"/>
    </row>
    <row r="353">
      <c r="A353" s="151"/>
      <c r="B353" s="151"/>
      <c r="C353" s="151"/>
    </row>
    <row r="354">
      <c r="A354" s="151"/>
      <c r="B354" s="151"/>
      <c r="C354" s="151"/>
    </row>
    <row r="355">
      <c r="A355" s="151"/>
      <c r="B355" s="151"/>
      <c r="C355" s="151"/>
    </row>
    <row r="356">
      <c r="A356" s="151"/>
      <c r="B356" s="151"/>
      <c r="C356" s="151"/>
    </row>
    <row r="357">
      <c r="A357" s="151"/>
      <c r="B357" s="151"/>
      <c r="C357" s="151"/>
    </row>
    <row r="358">
      <c r="A358" s="151"/>
      <c r="B358" s="151"/>
      <c r="C358" s="151"/>
    </row>
    <row r="359">
      <c r="A359" s="151"/>
      <c r="B359" s="151"/>
      <c r="C359" s="151"/>
    </row>
    <row r="360">
      <c r="A360" s="151"/>
      <c r="B360" s="151"/>
      <c r="C360" s="151"/>
    </row>
    <row r="361">
      <c r="A361" s="151"/>
      <c r="B361" s="151"/>
      <c r="C361" s="151"/>
    </row>
    <row r="362">
      <c r="A362" s="151"/>
      <c r="B362" s="151"/>
      <c r="C362" s="151"/>
    </row>
    <row r="363">
      <c r="A363" s="151"/>
      <c r="B363" s="151"/>
      <c r="C363" s="151"/>
    </row>
    <row r="364">
      <c r="A364" s="151"/>
      <c r="B364" s="151"/>
      <c r="C364" s="151"/>
    </row>
    <row r="365">
      <c r="A365" s="151"/>
      <c r="B365" s="151"/>
      <c r="C365" s="151"/>
    </row>
    <row r="366">
      <c r="A366" s="151"/>
      <c r="B366" s="151"/>
      <c r="C366" s="151"/>
    </row>
    <row r="367">
      <c r="A367" s="151"/>
      <c r="B367" s="151"/>
      <c r="C367" s="151"/>
    </row>
    <row r="368">
      <c r="A368" s="151"/>
      <c r="B368" s="151"/>
      <c r="C368" s="151"/>
    </row>
    <row r="369">
      <c r="A369" s="151"/>
      <c r="B369" s="151"/>
      <c r="C369" s="151"/>
    </row>
    <row r="370">
      <c r="A370" s="151"/>
      <c r="B370" s="151"/>
      <c r="C370" s="151"/>
    </row>
    <row r="371">
      <c r="A371" s="151"/>
      <c r="B371" s="151"/>
      <c r="C371" s="151"/>
    </row>
    <row r="372">
      <c r="A372" s="151"/>
      <c r="B372" s="151"/>
      <c r="C372" s="151"/>
    </row>
    <row r="373">
      <c r="A373" s="151"/>
      <c r="B373" s="151"/>
      <c r="C373" s="151"/>
    </row>
    <row r="374">
      <c r="A374" s="151"/>
      <c r="B374" s="151"/>
      <c r="C374" s="151"/>
    </row>
    <row r="375">
      <c r="A375" s="151"/>
      <c r="B375" s="151"/>
      <c r="C375" s="151"/>
    </row>
    <row r="376">
      <c r="A376" s="151"/>
      <c r="B376" s="151"/>
      <c r="C376" s="151"/>
    </row>
    <row r="377">
      <c r="A377" s="151"/>
      <c r="B377" s="151"/>
      <c r="C377" s="151"/>
    </row>
    <row r="378">
      <c r="A378" s="151"/>
      <c r="B378" s="151"/>
      <c r="C378" s="151"/>
    </row>
    <row r="379">
      <c r="A379" s="151"/>
      <c r="B379" s="151"/>
      <c r="C379" s="151"/>
    </row>
    <row r="380">
      <c r="A380" s="151"/>
      <c r="B380" s="151"/>
      <c r="C380" s="151"/>
    </row>
    <row r="381">
      <c r="A381" s="151"/>
      <c r="B381" s="151"/>
      <c r="C381" s="151"/>
    </row>
    <row r="382">
      <c r="A382" s="151"/>
      <c r="B382" s="151"/>
      <c r="C382" s="151"/>
    </row>
    <row r="383">
      <c r="A383" s="151"/>
      <c r="B383" s="151"/>
      <c r="C383" s="151"/>
    </row>
    <row r="384">
      <c r="A384" s="151"/>
      <c r="B384" s="151"/>
      <c r="C384" s="151"/>
    </row>
    <row r="385">
      <c r="A385" s="151"/>
      <c r="B385" s="151"/>
      <c r="C385" s="151"/>
    </row>
    <row r="386">
      <c r="A386" s="151"/>
      <c r="B386" s="151"/>
      <c r="C386" s="151"/>
    </row>
    <row r="387">
      <c r="A387" s="151"/>
      <c r="B387" s="151"/>
      <c r="C387" s="151"/>
    </row>
    <row r="388">
      <c r="A388" s="151"/>
      <c r="B388" s="151"/>
      <c r="C388" s="151"/>
    </row>
    <row r="389">
      <c r="A389" s="151"/>
      <c r="B389" s="151"/>
      <c r="C389" s="151"/>
    </row>
    <row r="390">
      <c r="A390" s="151"/>
      <c r="B390" s="151"/>
      <c r="C390" s="151"/>
    </row>
    <row r="391">
      <c r="A391" s="151"/>
      <c r="B391" s="151"/>
      <c r="C391" s="151"/>
    </row>
    <row r="392">
      <c r="A392" s="151"/>
      <c r="B392" s="151"/>
      <c r="C392" s="151"/>
    </row>
    <row r="393">
      <c r="A393" s="151"/>
      <c r="B393" s="151"/>
      <c r="C393" s="151"/>
    </row>
    <row r="394">
      <c r="A394" s="151"/>
      <c r="B394" s="151"/>
      <c r="C394" s="151"/>
    </row>
    <row r="395">
      <c r="A395" s="151"/>
      <c r="B395" s="151"/>
      <c r="C395" s="151"/>
    </row>
    <row r="396">
      <c r="A396" s="151"/>
      <c r="B396" s="151"/>
      <c r="C396" s="151"/>
    </row>
    <row r="397">
      <c r="A397" s="151"/>
      <c r="B397" s="151"/>
      <c r="C397" s="151"/>
    </row>
    <row r="398">
      <c r="A398" s="151"/>
      <c r="B398" s="151"/>
      <c r="C398" s="151"/>
    </row>
    <row r="399">
      <c r="A399" s="151"/>
      <c r="B399" s="151"/>
      <c r="C399" s="151"/>
    </row>
    <row r="400">
      <c r="A400" s="151"/>
      <c r="B400" s="151"/>
      <c r="C400" s="151"/>
    </row>
    <row r="401">
      <c r="A401" s="151"/>
      <c r="B401" s="151"/>
      <c r="C401" s="151"/>
    </row>
    <row r="402">
      <c r="A402" s="151"/>
      <c r="B402" s="151"/>
      <c r="C402" s="151"/>
    </row>
    <row r="403">
      <c r="A403" s="151"/>
      <c r="B403" s="151"/>
      <c r="C403" s="151"/>
    </row>
    <row r="404">
      <c r="A404" s="151"/>
      <c r="B404" s="151"/>
      <c r="C404" s="151"/>
    </row>
    <row r="405">
      <c r="A405" s="151"/>
      <c r="B405" s="151"/>
      <c r="C405" s="151"/>
    </row>
    <row r="406">
      <c r="A406" s="151"/>
      <c r="B406" s="151"/>
      <c r="C406" s="151"/>
    </row>
    <row r="407">
      <c r="A407" s="151"/>
      <c r="B407" s="151"/>
      <c r="C407" s="151"/>
    </row>
    <row r="408">
      <c r="A408" s="151"/>
      <c r="B408" s="151"/>
      <c r="C408" s="151"/>
    </row>
    <row r="409">
      <c r="A409" s="151"/>
      <c r="B409" s="151"/>
      <c r="C409" s="151"/>
    </row>
    <row r="410">
      <c r="A410" s="151"/>
      <c r="B410" s="151"/>
      <c r="C410" s="151"/>
    </row>
    <row r="411">
      <c r="A411" s="151"/>
      <c r="B411" s="151"/>
      <c r="C411" s="151"/>
    </row>
    <row r="412">
      <c r="A412" s="151"/>
      <c r="B412" s="151"/>
      <c r="C412" s="151"/>
    </row>
    <row r="413">
      <c r="A413" s="151"/>
      <c r="B413" s="151"/>
      <c r="C413" s="151"/>
    </row>
    <row r="414">
      <c r="A414" s="151"/>
      <c r="B414" s="151"/>
      <c r="C414" s="151"/>
    </row>
    <row r="415">
      <c r="A415" s="151"/>
      <c r="B415" s="151"/>
      <c r="C415" s="151"/>
    </row>
    <row r="416">
      <c r="A416" s="151"/>
      <c r="B416" s="151"/>
      <c r="C416" s="151"/>
    </row>
    <row r="417">
      <c r="A417" s="151"/>
      <c r="B417" s="151"/>
      <c r="C417" s="151"/>
    </row>
    <row r="418">
      <c r="A418" s="151"/>
      <c r="B418" s="151"/>
      <c r="C418" s="151"/>
    </row>
    <row r="419">
      <c r="A419" s="151"/>
      <c r="B419" s="151"/>
      <c r="C419" s="151"/>
    </row>
    <row r="420">
      <c r="A420" s="151"/>
      <c r="B420" s="151"/>
      <c r="C420" s="151"/>
    </row>
    <row r="421">
      <c r="A421" s="151"/>
      <c r="B421" s="151"/>
      <c r="C421" s="151"/>
    </row>
    <row r="422">
      <c r="A422" s="151"/>
      <c r="B422" s="151"/>
      <c r="C422" s="151"/>
    </row>
    <row r="423">
      <c r="A423" s="151"/>
      <c r="B423" s="151"/>
      <c r="C423" s="151"/>
    </row>
    <row r="424">
      <c r="A424" s="151"/>
      <c r="B424" s="151"/>
      <c r="C424" s="151"/>
    </row>
    <row r="425">
      <c r="A425" s="151"/>
      <c r="B425" s="151"/>
      <c r="C425" s="151"/>
    </row>
    <row r="426">
      <c r="A426" s="151"/>
      <c r="B426" s="151"/>
      <c r="C426" s="151"/>
    </row>
    <row r="427">
      <c r="A427" s="151"/>
      <c r="B427" s="151"/>
      <c r="C427" s="151"/>
    </row>
    <row r="428">
      <c r="A428" s="151"/>
      <c r="B428" s="151"/>
      <c r="C428" s="151"/>
    </row>
    <row r="429">
      <c r="A429" s="151"/>
      <c r="B429" s="151"/>
      <c r="C429" s="151"/>
    </row>
    <row r="430">
      <c r="A430" s="151"/>
      <c r="B430" s="151"/>
      <c r="C430" s="151"/>
    </row>
    <row r="431">
      <c r="A431" s="151"/>
      <c r="B431" s="151"/>
      <c r="C431" s="151"/>
    </row>
    <row r="432">
      <c r="A432" s="151"/>
      <c r="B432" s="151"/>
      <c r="C432" s="151"/>
    </row>
    <row r="433">
      <c r="A433" s="151"/>
      <c r="B433" s="151"/>
      <c r="C433" s="151"/>
    </row>
    <row r="434">
      <c r="A434" s="151"/>
      <c r="B434" s="151"/>
      <c r="C434" s="151"/>
    </row>
    <row r="435">
      <c r="A435" s="151"/>
      <c r="B435" s="151"/>
      <c r="C435" s="151"/>
    </row>
    <row r="436">
      <c r="A436" s="151"/>
      <c r="B436" s="151"/>
      <c r="C436" s="151"/>
    </row>
    <row r="437">
      <c r="A437" s="151"/>
      <c r="B437" s="151"/>
      <c r="C437" s="151"/>
    </row>
    <row r="438">
      <c r="A438" s="151"/>
      <c r="B438" s="151"/>
      <c r="C438" s="151"/>
    </row>
    <row r="439">
      <c r="A439" s="151"/>
      <c r="B439" s="151"/>
      <c r="C439" s="151"/>
    </row>
    <row r="440">
      <c r="A440" s="151"/>
      <c r="B440" s="151"/>
      <c r="C440" s="151"/>
    </row>
    <row r="441">
      <c r="A441" s="151"/>
      <c r="B441" s="151"/>
      <c r="C441" s="151"/>
    </row>
    <row r="442">
      <c r="A442" s="151"/>
      <c r="B442" s="151"/>
      <c r="C442" s="151"/>
    </row>
    <row r="443">
      <c r="A443" s="151"/>
      <c r="B443" s="151"/>
      <c r="C443" s="151"/>
    </row>
    <row r="444">
      <c r="A444" s="151"/>
      <c r="B444" s="151"/>
      <c r="C444" s="151"/>
    </row>
    <row r="445">
      <c r="A445" s="151"/>
      <c r="B445" s="151"/>
      <c r="C445" s="151"/>
    </row>
    <row r="446">
      <c r="A446" s="151"/>
      <c r="B446" s="151"/>
      <c r="C446" s="151"/>
    </row>
    <row r="447">
      <c r="A447" s="151"/>
      <c r="B447" s="151"/>
      <c r="C447" s="151"/>
    </row>
    <row r="448">
      <c r="A448" s="151"/>
      <c r="B448" s="151"/>
      <c r="C448" s="151"/>
    </row>
    <row r="449">
      <c r="A449" s="151"/>
      <c r="B449" s="151"/>
      <c r="C449" s="151"/>
    </row>
    <row r="450">
      <c r="A450" s="151"/>
      <c r="B450" s="151"/>
      <c r="C450" s="151"/>
    </row>
    <row r="451">
      <c r="A451" s="151"/>
      <c r="B451" s="151"/>
      <c r="C451" s="151"/>
    </row>
    <row r="452">
      <c r="A452" s="151"/>
      <c r="B452" s="151"/>
      <c r="C452" s="151"/>
    </row>
    <row r="453">
      <c r="A453" s="151"/>
      <c r="B453" s="151"/>
      <c r="C453" s="151"/>
    </row>
    <row r="454">
      <c r="A454" s="151"/>
      <c r="B454" s="151"/>
      <c r="C454" s="151"/>
    </row>
    <row r="455">
      <c r="A455" s="151"/>
      <c r="B455" s="151"/>
      <c r="C455" s="151"/>
    </row>
    <row r="456">
      <c r="A456" s="151"/>
      <c r="B456" s="151"/>
      <c r="C456" s="151"/>
    </row>
    <row r="457">
      <c r="A457" s="151"/>
      <c r="B457" s="151"/>
      <c r="C457" s="151"/>
    </row>
    <row r="458">
      <c r="A458" s="151"/>
      <c r="B458" s="151"/>
      <c r="C458" s="151"/>
    </row>
    <row r="459">
      <c r="A459" s="151"/>
      <c r="B459" s="151"/>
      <c r="C459" s="151"/>
    </row>
    <row r="460">
      <c r="A460" s="151"/>
      <c r="B460" s="151"/>
      <c r="C460" s="151"/>
    </row>
    <row r="461">
      <c r="A461" s="151"/>
      <c r="B461" s="151"/>
      <c r="C461" s="151"/>
    </row>
    <row r="462">
      <c r="A462" s="151"/>
      <c r="B462" s="151"/>
      <c r="C462" s="151"/>
    </row>
    <row r="463">
      <c r="A463" s="151"/>
      <c r="B463" s="151"/>
      <c r="C463" s="151"/>
    </row>
    <row r="464">
      <c r="A464" s="151"/>
      <c r="B464" s="151"/>
      <c r="C464" s="151"/>
    </row>
    <row r="465">
      <c r="A465" s="151"/>
      <c r="B465" s="151"/>
      <c r="C465" s="151"/>
    </row>
    <row r="466">
      <c r="A466" s="151"/>
      <c r="B466" s="151"/>
      <c r="C466" s="151"/>
    </row>
    <row r="467">
      <c r="A467" s="151"/>
      <c r="B467" s="151"/>
      <c r="C467" s="151"/>
    </row>
    <row r="468">
      <c r="A468" s="151"/>
      <c r="B468" s="151"/>
      <c r="C468" s="151"/>
    </row>
    <row r="469">
      <c r="A469" s="151"/>
      <c r="B469" s="151"/>
      <c r="C469" s="151"/>
    </row>
    <row r="470">
      <c r="A470" s="151"/>
      <c r="B470" s="151"/>
      <c r="C470" s="151"/>
    </row>
    <row r="471">
      <c r="A471" s="151"/>
      <c r="B471" s="151"/>
      <c r="C471" s="151"/>
    </row>
    <row r="472">
      <c r="A472" s="151"/>
      <c r="B472" s="151"/>
      <c r="C472" s="151"/>
    </row>
    <row r="473">
      <c r="A473" s="151"/>
      <c r="B473" s="151"/>
      <c r="C473" s="151"/>
    </row>
    <row r="474">
      <c r="A474" s="151"/>
      <c r="B474" s="151"/>
      <c r="C474" s="151"/>
    </row>
    <row r="475">
      <c r="A475" s="151"/>
      <c r="B475" s="151"/>
      <c r="C475" s="151"/>
    </row>
    <row r="476">
      <c r="A476" s="151"/>
      <c r="B476" s="151"/>
      <c r="C476" s="151"/>
    </row>
    <row r="477">
      <c r="A477" s="151"/>
      <c r="B477" s="151"/>
      <c r="C477" s="151"/>
    </row>
    <row r="478">
      <c r="A478" s="151"/>
      <c r="B478" s="151"/>
      <c r="C478" s="151"/>
    </row>
    <row r="479">
      <c r="A479" s="151"/>
      <c r="B479" s="151"/>
      <c r="C479" s="151"/>
    </row>
    <row r="480">
      <c r="A480" s="151"/>
      <c r="B480" s="151"/>
      <c r="C480" s="151"/>
    </row>
    <row r="481">
      <c r="A481" s="151"/>
      <c r="B481" s="151"/>
      <c r="C481" s="151"/>
    </row>
    <row r="482">
      <c r="A482" s="151"/>
      <c r="B482" s="151"/>
      <c r="C482" s="151"/>
    </row>
    <row r="483">
      <c r="A483" s="151"/>
      <c r="B483" s="151"/>
      <c r="C483" s="151"/>
    </row>
    <row r="484">
      <c r="A484" s="151"/>
      <c r="B484" s="151"/>
      <c r="C484" s="151"/>
    </row>
    <row r="485">
      <c r="A485" s="151"/>
      <c r="B485" s="151"/>
      <c r="C485" s="151"/>
    </row>
    <row r="486">
      <c r="A486" s="151"/>
      <c r="B486" s="151"/>
      <c r="C486" s="151"/>
    </row>
    <row r="487">
      <c r="A487" s="151"/>
      <c r="B487" s="151"/>
      <c r="C487" s="151"/>
    </row>
    <row r="488">
      <c r="A488" s="151"/>
      <c r="B488" s="151"/>
      <c r="C488" s="151"/>
    </row>
    <row r="489">
      <c r="A489" s="151"/>
      <c r="B489" s="151"/>
      <c r="C489" s="151"/>
    </row>
    <row r="490">
      <c r="A490" s="151"/>
      <c r="B490" s="151"/>
      <c r="C490" s="151"/>
    </row>
    <row r="491">
      <c r="A491" s="151"/>
      <c r="B491" s="151"/>
      <c r="C491" s="151"/>
    </row>
    <row r="492">
      <c r="A492" s="151"/>
      <c r="B492" s="151"/>
      <c r="C492" s="151"/>
    </row>
    <row r="493">
      <c r="A493" s="151"/>
      <c r="B493" s="151"/>
      <c r="C493" s="151"/>
    </row>
    <row r="494">
      <c r="A494" s="151"/>
      <c r="B494" s="151"/>
      <c r="C494" s="151"/>
    </row>
    <row r="495">
      <c r="A495" s="151"/>
      <c r="B495" s="151"/>
      <c r="C495" s="151"/>
    </row>
    <row r="496">
      <c r="A496" s="151"/>
      <c r="B496" s="151"/>
      <c r="C496" s="151"/>
    </row>
    <row r="497">
      <c r="A497" s="151"/>
      <c r="B497" s="151"/>
      <c r="C497" s="151"/>
    </row>
    <row r="498">
      <c r="A498" s="151"/>
      <c r="B498" s="151"/>
      <c r="C498" s="151"/>
    </row>
    <row r="499">
      <c r="A499" s="151"/>
      <c r="B499" s="151"/>
      <c r="C499" s="151"/>
    </row>
    <row r="500">
      <c r="A500" s="151"/>
      <c r="B500" s="151"/>
      <c r="C500" s="151"/>
    </row>
    <row r="501">
      <c r="A501" s="151"/>
      <c r="B501" s="151"/>
      <c r="C501" s="151"/>
    </row>
    <row r="502">
      <c r="A502" s="151"/>
      <c r="B502" s="151"/>
      <c r="C502" s="151"/>
    </row>
    <row r="503">
      <c r="A503" s="151"/>
      <c r="B503" s="151"/>
      <c r="C503" s="151"/>
    </row>
    <row r="504">
      <c r="A504" s="151"/>
      <c r="B504" s="151"/>
      <c r="C504" s="151"/>
    </row>
    <row r="505">
      <c r="A505" s="151"/>
      <c r="B505" s="151"/>
      <c r="C505" s="151"/>
    </row>
    <row r="506">
      <c r="A506" s="151"/>
      <c r="B506" s="151"/>
      <c r="C506" s="151"/>
    </row>
    <row r="507">
      <c r="A507" s="151"/>
      <c r="B507" s="151"/>
      <c r="C507" s="151"/>
    </row>
    <row r="508">
      <c r="A508" s="151"/>
      <c r="B508" s="151"/>
      <c r="C508" s="151"/>
    </row>
    <row r="509">
      <c r="A509" s="151"/>
      <c r="B509" s="151"/>
      <c r="C509" s="151"/>
    </row>
    <row r="510">
      <c r="A510" s="151"/>
      <c r="B510" s="151"/>
      <c r="C510" s="151"/>
    </row>
    <row r="511">
      <c r="A511" s="151"/>
      <c r="B511" s="151"/>
      <c r="C511" s="151"/>
    </row>
    <row r="512">
      <c r="A512" s="151"/>
      <c r="B512" s="151"/>
      <c r="C512" s="151"/>
    </row>
    <row r="513">
      <c r="A513" s="151"/>
      <c r="B513" s="151"/>
      <c r="C513" s="151"/>
    </row>
    <row r="514">
      <c r="A514" s="151"/>
      <c r="B514" s="151"/>
      <c r="C514" s="151"/>
    </row>
    <row r="515">
      <c r="A515" s="151"/>
      <c r="B515" s="151"/>
      <c r="C515" s="151"/>
    </row>
    <row r="516">
      <c r="A516" s="151"/>
      <c r="B516" s="151"/>
      <c r="C516" s="151"/>
    </row>
    <row r="517">
      <c r="A517" s="151"/>
      <c r="B517" s="151"/>
      <c r="C517" s="151"/>
    </row>
    <row r="518">
      <c r="A518" s="151"/>
      <c r="B518" s="151"/>
      <c r="C518" s="151"/>
    </row>
    <row r="519">
      <c r="A519" s="151"/>
      <c r="B519" s="151"/>
      <c r="C519" s="151"/>
    </row>
    <row r="520">
      <c r="A520" s="151"/>
      <c r="B520" s="151"/>
      <c r="C520" s="151"/>
    </row>
    <row r="521">
      <c r="A521" s="151"/>
      <c r="B521" s="151"/>
      <c r="C521" s="151"/>
    </row>
    <row r="522">
      <c r="A522" s="151"/>
      <c r="B522" s="151"/>
      <c r="C522" s="151"/>
    </row>
    <row r="523">
      <c r="A523" s="151"/>
      <c r="B523" s="151"/>
      <c r="C523" s="151"/>
    </row>
    <row r="524">
      <c r="A524" s="151"/>
      <c r="B524" s="151"/>
      <c r="C524" s="151"/>
    </row>
    <row r="525">
      <c r="A525" s="151"/>
      <c r="B525" s="151"/>
      <c r="C525" s="151"/>
    </row>
    <row r="526">
      <c r="A526" s="151"/>
      <c r="B526" s="151"/>
      <c r="C526" s="151"/>
    </row>
    <row r="527">
      <c r="A527" s="151"/>
      <c r="B527" s="151"/>
      <c r="C527" s="151"/>
    </row>
    <row r="528">
      <c r="A528" s="151"/>
      <c r="B528" s="151"/>
      <c r="C528" s="151"/>
    </row>
    <row r="529">
      <c r="A529" s="151"/>
      <c r="B529" s="151"/>
      <c r="C529" s="151"/>
    </row>
    <row r="530">
      <c r="A530" s="151"/>
      <c r="B530" s="151"/>
      <c r="C530" s="151"/>
    </row>
    <row r="531">
      <c r="A531" s="151"/>
      <c r="B531" s="151"/>
      <c r="C531" s="151"/>
    </row>
    <row r="532">
      <c r="A532" s="151"/>
      <c r="B532" s="151"/>
      <c r="C532" s="151"/>
    </row>
    <row r="533">
      <c r="A533" s="151"/>
      <c r="B533" s="151"/>
      <c r="C533" s="151"/>
    </row>
    <row r="534">
      <c r="A534" s="151"/>
      <c r="B534" s="151"/>
      <c r="C534" s="151"/>
    </row>
    <row r="535">
      <c r="A535" s="151"/>
      <c r="B535" s="151"/>
      <c r="C535" s="151"/>
    </row>
    <row r="536">
      <c r="A536" s="151"/>
      <c r="B536" s="151"/>
      <c r="C536" s="151"/>
    </row>
    <row r="537">
      <c r="A537" s="151"/>
      <c r="B537" s="151"/>
      <c r="C537" s="151"/>
    </row>
    <row r="538">
      <c r="A538" s="151"/>
      <c r="B538" s="151"/>
      <c r="C538" s="151"/>
    </row>
    <row r="539">
      <c r="A539" s="151"/>
      <c r="B539" s="151"/>
      <c r="C539" s="151"/>
    </row>
    <row r="540">
      <c r="A540" s="151"/>
      <c r="B540" s="151"/>
      <c r="C540" s="151"/>
    </row>
    <row r="541">
      <c r="A541" s="151"/>
      <c r="B541" s="151"/>
      <c r="C541" s="151"/>
    </row>
    <row r="542">
      <c r="A542" s="151"/>
      <c r="B542" s="151"/>
      <c r="C542" s="151"/>
    </row>
    <row r="543">
      <c r="A543" s="151"/>
      <c r="B543" s="151"/>
      <c r="C543" s="151"/>
    </row>
    <row r="544">
      <c r="A544" s="151"/>
      <c r="B544" s="151"/>
      <c r="C544" s="151"/>
    </row>
    <row r="545">
      <c r="A545" s="151"/>
      <c r="B545" s="151"/>
      <c r="C545" s="151"/>
    </row>
    <row r="546">
      <c r="A546" s="151"/>
      <c r="B546" s="151"/>
      <c r="C546" s="151"/>
    </row>
    <row r="547">
      <c r="A547" s="151"/>
      <c r="B547" s="151"/>
      <c r="C547" s="151"/>
    </row>
    <row r="548">
      <c r="A548" s="151"/>
      <c r="B548" s="151"/>
      <c r="C548" s="151"/>
    </row>
    <row r="549">
      <c r="A549" s="151"/>
      <c r="B549" s="151"/>
      <c r="C549" s="151"/>
    </row>
    <row r="550">
      <c r="A550" s="151"/>
      <c r="B550" s="151"/>
      <c r="C550" s="151"/>
    </row>
    <row r="551">
      <c r="A551" s="151"/>
      <c r="B551" s="151"/>
      <c r="C551" s="151"/>
    </row>
    <row r="552">
      <c r="A552" s="151"/>
      <c r="B552" s="151"/>
      <c r="C552" s="151"/>
    </row>
    <row r="553">
      <c r="A553" s="151"/>
      <c r="B553" s="151"/>
      <c r="C553" s="151"/>
    </row>
    <row r="554">
      <c r="A554" s="151"/>
      <c r="B554" s="151"/>
      <c r="C554" s="151"/>
    </row>
    <row r="555">
      <c r="A555" s="151"/>
      <c r="B555" s="151"/>
      <c r="C555" s="151"/>
    </row>
    <row r="556">
      <c r="A556" s="151"/>
      <c r="B556" s="151"/>
      <c r="C556" s="151"/>
    </row>
    <row r="557">
      <c r="A557" s="151"/>
      <c r="B557" s="151"/>
      <c r="C557" s="151"/>
    </row>
    <row r="558">
      <c r="A558" s="151"/>
      <c r="B558" s="151"/>
      <c r="C558" s="151"/>
    </row>
    <row r="559">
      <c r="A559" s="151"/>
      <c r="B559" s="151"/>
      <c r="C559" s="151"/>
    </row>
    <row r="560">
      <c r="A560" s="151"/>
      <c r="B560" s="151"/>
      <c r="C560" s="151"/>
    </row>
    <row r="561">
      <c r="A561" s="151"/>
      <c r="B561" s="151"/>
      <c r="C561" s="151"/>
    </row>
    <row r="562">
      <c r="A562" s="151"/>
      <c r="B562" s="151"/>
      <c r="C562" s="151"/>
    </row>
    <row r="563">
      <c r="A563" s="151"/>
      <c r="B563" s="151"/>
      <c r="C563" s="151"/>
    </row>
    <row r="564">
      <c r="A564" s="151"/>
      <c r="B564" s="151"/>
      <c r="C564" s="151"/>
    </row>
    <row r="565">
      <c r="A565" s="151"/>
      <c r="B565" s="151"/>
      <c r="C565" s="151"/>
    </row>
    <row r="566">
      <c r="A566" s="151"/>
      <c r="B566" s="151"/>
      <c r="C566" s="151"/>
    </row>
    <row r="567">
      <c r="A567" s="151"/>
      <c r="B567" s="151"/>
      <c r="C567" s="151"/>
    </row>
    <row r="568">
      <c r="A568" s="151"/>
      <c r="B568" s="151"/>
      <c r="C568" s="151"/>
    </row>
    <row r="569">
      <c r="A569" s="151"/>
      <c r="B569" s="151"/>
      <c r="C569" s="151"/>
    </row>
    <row r="570">
      <c r="A570" s="151"/>
      <c r="B570" s="151"/>
      <c r="C570" s="151"/>
    </row>
    <row r="571">
      <c r="A571" s="151"/>
      <c r="B571" s="151"/>
      <c r="C571" s="151"/>
    </row>
    <row r="572">
      <c r="A572" s="151"/>
      <c r="B572" s="151"/>
      <c r="C572" s="151"/>
    </row>
    <row r="573">
      <c r="A573" s="151"/>
      <c r="B573" s="151"/>
      <c r="C573" s="151"/>
    </row>
    <row r="574">
      <c r="A574" s="151"/>
      <c r="B574" s="151"/>
      <c r="C574" s="151"/>
    </row>
    <row r="575">
      <c r="A575" s="151"/>
      <c r="B575" s="151"/>
      <c r="C575" s="151"/>
    </row>
    <row r="576">
      <c r="A576" s="151"/>
      <c r="B576" s="151"/>
      <c r="C576" s="151"/>
    </row>
    <row r="577">
      <c r="A577" s="151"/>
      <c r="B577" s="151"/>
      <c r="C577" s="151"/>
    </row>
    <row r="578">
      <c r="A578" s="151"/>
      <c r="B578" s="151"/>
      <c r="C578" s="151"/>
    </row>
    <row r="579">
      <c r="A579" s="151"/>
      <c r="B579" s="151"/>
      <c r="C579" s="151"/>
    </row>
    <row r="580">
      <c r="A580" s="151"/>
      <c r="B580" s="151"/>
      <c r="C580" s="151"/>
    </row>
    <row r="581">
      <c r="A581" s="151"/>
      <c r="B581" s="151"/>
      <c r="C581" s="151"/>
    </row>
    <row r="582">
      <c r="A582" s="151"/>
      <c r="B582" s="151"/>
      <c r="C582" s="151"/>
    </row>
    <row r="583">
      <c r="A583" s="151"/>
      <c r="B583" s="151"/>
      <c r="C583" s="151"/>
    </row>
    <row r="584">
      <c r="A584" s="151"/>
      <c r="B584" s="151"/>
      <c r="C584" s="151"/>
    </row>
    <row r="585">
      <c r="A585" s="151"/>
      <c r="B585" s="151"/>
      <c r="C585" s="151"/>
    </row>
    <row r="586">
      <c r="A586" s="151"/>
      <c r="B586" s="151"/>
      <c r="C586" s="151"/>
    </row>
    <row r="587">
      <c r="A587" s="151"/>
      <c r="B587" s="151"/>
      <c r="C587" s="151"/>
    </row>
    <row r="588">
      <c r="A588" s="151"/>
      <c r="B588" s="151"/>
      <c r="C588" s="151"/>
    </row>
    <row r="589">
      <c r="A589" s="151"/>
      <c r="B589" s="151"/>
      <c r="C589" s="151"/>
    </row>
    <row r="590">
      <c r="A590" s="151"/>
      <c r="B590" s="151"/>
      <c r="C590" s="151"/>
    </row>
    <row r="591">
      <c r="A591" s="151"/>
      <c r="B591" s="151"/>
      <c r="C591" s="151"/>
    </row>
    <row r="592">
      <c r="A592" s="151"/>
      <c r="B592" s="151"/>
      <c r="C592" s="151"/>
    </row>
    <row r="593">
      <c r="A593" s="151"/>
      <c r="B593" s="151"/>
      <c r="C593" s="151"/>
    </row>
    <row r="594">
      <c r="A594" s="151"/>
      <c r="B594" s="151"/>
      <c r="C594" s="151"/>
    </row>
    <row r="595">
      <c r="A595" s="151"/>
      <c r="B595" s="151"/>
      <c r="C595" s="151"/>
    </row>
    <row r="596">
      <c r="A596" s="151"/>
      <c r="B596" s="151"/>
      <c r="C596" s="151"/>
    </row>
    <row r="597">
      <c r="A597" s="151"/>
      <c r="B597" s="151"/>
      <c r="C597" s="151"/>
    </row>
    <row r="598">
      <c r="A598" s="151"/>
      <c r="B598" s="151"/>
      <c r="C598" s="151"/>
    </row>
    <row r="599">
      <c r="A599" s="151"/>
      <c r="B599" s="151"/>
      <c r="C599" s="151"/>
    </row>
    <row r="600">
      <c r="A600" s="151"/>
      <c r="B600" s="151"/>
      <c r="C600" s="151"/>
    </row>
    <row r="601">
      <c r="A601" s="151"/>
      <c r="B601" s="151"/>
      <c r="C601" s="151"/>
    </row>
    <row r="602">
      <c r="A602" s="151"/>
      <c r="B602" s="151"/>
      <c r="C602" s="151"/>
    </row>
    <row r="603">
      <c r="A603" s="151"/>
      <c r="B603" s="151"/>
      <c r="C603" s="151"/>
    </row>
    <row r="604">
      <c r="A604" s="151"/>
      <c r="B604" s="151"/>
      <c r="C604" s="151"/>
    </row>
    <row r="605">
      <c r="A605" s="151"/>
      <c r="B605" s="151"/>
      <c r="C605" s="151"/>
    </row>
    <row r="606">
      <c r="A606" s="151"/>
      <c r="B606" s="151"/>
      <c r="C606" s="151"/>
    </row>
    <row r="607">
      <c r="A607" s="151"/>
      <c r="B607" s="151"/>
      <c r="C607" s="151"/>
    </row>
    <row r="608">
      <c r="A608" s="151"/>
      <c r="B608" s="151"/>
      <c r="C608" s="151"/>
    </row>
    <row r="609">
      <c r="A609" s="151"/>
      <c r="B609" s="151"/>
      <c r="C609" s="151"/>
    </row>
    <row r="610">
      <c r="A610" s="151"/>
      <c r="B610" s="151"/>
      <c r="C610" s="151"/>
    </row>
    <row r="611">
      <c r="A611" s="151"/>
      <c r="B611" s="151"/>
      <c r="C611" s="151"/>
    </row>
    <row r="612">
      <c r="A612" s="151"/>
      <c r="B612" s="151"/>
      <c r="C612" s="151"/>
    </row>
    <row r="613">
      <c r="A613" s="151"/>
      <c r="B613" s="151"/>
      <c r="C613" s="151"/>
    </row>
    <row r="614">
      <c r="A614" s="151"/>
      <c r="B614" s="151"/>
      <c r="C614" s="151"/>
    </row>
    <row r="615">
      <c r="A615" s="151"/>
      <c r="B615" s="151"/>
      <c r="C615" s="151"/>
    </row>
    <row r="616">
      <c r="A616" s="151"/>
      <c r="B616" s="151"/>
      <c r="C616" s="151"/>
    </row>
    <row r="617">
      <c r="A617" s="151"/>
      <c r="B617" s="151"/>
      <c r="C617" s="151"/>
    </row>
    <row r="618">
      <c r="A618" s="151"/>
      <c r="B618" s="151"/>
      <c r="C618" s="151"/>
    </row>
    <row r="619">
      <c r="A619" s="151"/>
      <c r="B619" s="151"/>
      <c r="C619" s="151"/>
    </row>
    <row r="620">
      <c r="A620" s="151"/>
      <c r="B620" s="151"/>
      <c r="C620" s="151"/>
    </row>
    <row r="621">
      <c r="A621" s="151"/>
      <c r="B621" s="151"/>
      <c r="C621" s="151"/>
    </row>
    <row r="622">
      <c r="A622" s="151"/>
      <c r="B622" s="151"/>
      <c r="C622" s="151"/>
    </row>
    <row r="623">
      <c r="A623" s="151"/>
      <c r="B623" s="151"/>
      <c r="C623" s="151"/>
    </row>
    <row r="624">
      <c r="A624" s="151"/>
      <c r="B624" s="151"/>
      <c r="C624" s="151"/>
    </row>
    <row r="625">
      <c r="A625" s="151"/>
      <c r="B625" s="151"/>
      <c r="C625" s="151"/>
    </row>
    <row r="626">
      <c r="A626" s="151"/>
      <c r="B626" s="151"/>
      <c r="C626" s="151"/>
    </row>
    <row r="627">
      <c r="A627" s="151"/>
      <c r="B627" s="151"/>
      <c r="C627" s="151"/>
    </row>
    <row r="628">
      <c r="A628" s="151"/>
      <c r="B628" s="151"/>
      <c r="C628" s="151"/>
    </row>
    <row r="629">
      <c r="A629" s="151"/>
      <c r="B629" s="151"/>
      <c r="C629" s="151"/>
    </row>
    <row r="630">
      <c r="A630" s="151"/>
      <c r="B630" s="151"/>
      <c r="C630" s="151"/>
    </row>
    <row r="631">
      <c r="A631" s="151"/>
      <c r="B631" s="151"/>
      <c r="C631" s="151"/>
    </row>
    <row r="632">
      <c r="A632" s="151"/>
      <c r="B632" s="151"/>
      <c r="C632" s="151"/>
    </row>
    <row r="633">
      <c r="A633" s="151"/>
      <c r="B633" s="151"/>
      <c r="C633" s="151"/>
    </row>
    <row r="634">
      <c r="A634" s="151"/>
      <c r="B634" s="151"/>
      <c r="C634" s="151"/>
    </row>
    <row r="635">
      <c r="A635" s="151"/>
      <c r="B635" s="151"/>
      <c r="C635" s="151"/>
    </row>
    <row r="636">
      <c r="A636" s="151"/>
      <c r="B636" s="151"/>
      <c r="C636" s="151"/>
    </row>
    <row r="637">
      <c r="A637" s="151"/>
      <c r="B637" s="151"/>
      <c r="C637" s="151"/>
    </row>
    <row r="638">
      <c r="A638" s="151"/>
      <c r="B638" s="151"/>
      <c r="C638" s="151"/>
    </row>
    <row r="639">
      <c r="A639" s="151"/>
      <c r="B639" s="151"/>
      <c r="C639" s="151"/>
    </row>
    <row r="640">
      <c r="A640" s="151"/>
      <c r="B640" s="151"/>
      <c r="C640" s="151"/>
    </row>
    <row r="641">
      <c r="A641" s="151"/>
      <c r="B641" s="151"/>
      <c r="C641" s="151"/>
    </row>
    <row r="642">
      <c r="A642" s="151"/>
      <c r="B642" s="151"/>
      <c r="C642" s="151"/>
    </row>
    <row r="643">
      <c r="A643" s="151"/>
      <c r="B643" s="151"/>
      <c r="C643" s="151"/>
    </row>
    <row r="644">
      <c r="A644" s="151"/>
      <c r="B644" s="151"/>
      <c r="C644" s="151"/>
    </row>
    <row r="645">
      <c r="A645" s="151"/>
      <c r="B645" s="151"/>
      <c r="C645" s="151"/>
    </row>
    <row r="646">
      <c r="A646" s="151"/>
      <c r="B646" s="151"/>
      <c r="C646" s="151"/>
    </row>
    <row r="647">
      <c r="A647" s="151"/>
      <c r="B647" s="151"/>
      <c r="C647" s="151"/>
    </row>
    <row r="648">
      <c r="A648" s="151"/>
      <c r="B648" s="151"/>
      <c r="C648" s="151"/>
    </row>
    <row r="649">
      <c r="A649" s="151"/>
      <c r="B649" s="151"/>
      <c r="C649" s="151"/>
    </row>
    <row r="650">
      <c r="A650" s="151"/>
      <c r="B650" s="151"/>
      <c r="C650" s="151"/>
    </row>
    <row r="651">
      <c r="A651" s="151"/>
      <c r="B651" s="151"/>
      <c r="C651" s="151"/>
    </row>
    <row r="652">
      <c r="A652" s="151"/>
      <c r="B652" s="151"/>
      <c r="C652" s="151"/>
    </row>
    <row r="653">
      <c r="A653" s="151"/>
      <c r="B653" s="151"/>
      <c r="C653" s="151"/>
    </row>
    <row r="654">
      <c r="A654" s="151"/>
      <c r="B654" s="151"/>
      <c r="C654" s="151"/>
    </row>
    <row r="655">
      <c r="A655" s="151"/>
      <c r="B655" s="151"/>
      <c r="C655" s="151"/>
    </row>
    <row r="656">
      <c r="A656" s="151"/>
      <c r="B656" s="151"/>
      <c r="C656" s="151"/>
    </row>
    <row r="657">
      <c r="A657" s="151"/>
      <c r="B657" s="151"/>
      <c r="C657" s="151"/>
    </row>
    <row r="658">
      <c r="A658" s="151"/>
      <c r="B658" s="151"/>
      <c r="C658" s="151"/>
    </row>
    <row r="659">
      <c r="A659" s="151"/>
      <c r="B659" s="151"/>
      <c r="C659" s="151"/>
    </row>
    <row r="660">
      <c r="A660" s="151"/>
      <c r="B660" s="151"/>
      <c r="C660" s="151"/>
    </row>
    <row r="661">
      <c r="A661" s="151"/>
      <c r="B661" s="151"/>
      <c r="C661" s="151"/>
    </row>
    <row r="662">
      <c r="A662" s="151"/>
      <c r="B662" s="151"/>
      <c r="C662" s="151"/>
    </row>
    <row r="663">
      <c r="A663" s="151"/>
      <c r="B663" s="151"/>
      <c r="C663" s="151"/>
    </row>
    <row r="664">
      <c r="A664" s="151"/>
      <c r="B664" s="151"/>
      <c r="C664" s="151"/>
    </row>
    <row r="665">
      <c r="A665" s="151"/>
      <c r="B665" s="151"/>
      <c r="C665" s="151"/>
    </row>
    <row r="666">
      <c r="A666" s="151"/>
      <c r="B666" s="151"/>
      <c r="C666" s="151"/>
    </row>
    <row r="667">
      <c r="A667" s="151"/>
      <c r="B667" s="151"/>
      <c r="C667" s="151"/>
    </row>
    <row r="668">
      <c r="A668" s="151"/>
      <c r="B668" s="151"/>
      <c r="C668" s="151"/>
    </row>
    <row r="669">
      <c r="A669" s="151"/>
      <c r="B669" s="151"/>
      <c r="C669" s="151"/>
    </row>
    <row r="670">
      <c r="A670" s="151"/>
      <c r="B670" s="151"/>
      <c r="C670" s="151"/>
    </row>
    <row r="671">
      <c r="A671" s="151"/>
      <c r="B671" s="151"/>
      <c r="C671" s="151"/>
    </row>
    <row r="672">
      <c r="A672" s="151"/>
      <c r="B672" s="151"/>
      <c r="C672" s="151"/>
    </row>
    <row r="673">
      <c r="A673" s="151"/>
      <c r="B673" s="151"/>
      <c r="C673" s="151"/>
    </row>
    <row r="674">
      <c r="A674" s="151"/>
      <c r="B674" s="151"/>
      <c r="C674" s="151"/>
    </row>
    <row r="675">
      <c r="A675" s="151"/>
      <c r="B675" s="151"/>
      <c r="C675" s="151"/>
    </row>
    <row r="676">
      <c r="A676" s="151"/>
      <c r="B676" s="151"/>
      <c r="C676" s="151"/>
    </row>
    <row r="677">
      <c r="A677" s="151"/>
      <c r="B677" s="151"/>
      <c r="C677" s="151"/>
    </row>
    <row r="678">
      <c r="A678" s="151"/>
      <c r="B678" s="151"/>
      <c r="C678" s="151"/>
    </row>
    <row r="679">
      <c r="A679" s="151"/>
      <c r="B679" s="151"/>
      <c r="C679" s="151"/>
    </row>
    <row r="680">
      <c r="A680" s="151"/>
      <c r="B680" s="151"/>
      <c r="C680" s="151"/>
    </row>
    <row r="681">
      <c r="A681" s="151"/>
      <c r="B681" s="151"/>
      <c r="C681" s="151"/>
    </row>
    <row r="682">
      <c r="A682" s="151"/>
      <c r="B682" s="151"/>
      <c r="C682" s="151"/>
    </row>
    <row r="683">
      <c r="A683" s="151"/>
      <c r="B683" s="151"/>
      <c r="C683" s="151"/>
    </row>
    <row r="684">
      <c r="A684" s="151"/>
      <c r="B684" s="151"/>
      <c r="C684" s="151"/>
    </row>
    <row r="685">
      <c r="A685" s="151"/>
      <c r="B685" s="151"/>
      <c r="C685" s="151"/>
    </row>
    <row r="686">
      <c r="A686" s="151"/>
      <c r="B686" s="151"/>
      <c r="C686" s="151"/>
    </row>
    <row r="687">
      <c r="A687" s="151"/>
      <c r="B687" s="151"/>
      <c r="C687" s="151"/>
    </row>
    <row r="688">
      <c r="A688" s="151"/>
      <c r="B688" s="151"/>
      <c r="C688" s="151"/>
    </row>
    <row r="689">
      <c r="A689" s="151"/>
      <c r="B689" s="151"/>
      <c r="C689" s="151"/>
    </row>
    <row r="690">
      <c r="A690" s="151"/>
      <c r="B690" s="151"/>
      <c r="C690" s="151"/>
    </row>
    <row r="691">
      <c r="A691" s="151"/>
      <c r="B691" s="151"/>
      <c r="C691" s="151"/>
    </row>
    <row r="692">
      <c r="A692" s="151"/>
      <c r="B692" s="151"/>
      <c r="C692" s="151"/>
    </row>
    <row r="693">
      <c r="A693" s="151"/>
      <c r="B693" s="151"/>
      <c r="C693" s="151"/>
    </row>
    <row r="694">
      <c r="A694" s="151"/>
      <c r="B694" s="151"/>
      <c r="C694" s="151"/>
    </row>
    <row r="695">
      <c r="A695" s="151"/>
      <c r="B695" s="151"/>
      <c r="C695" s="151"/>
    </row>
    <row r="696">
      <c r="A696" s="151"/>
      <c r="B696" s="151"/>
      <c r="C696" s="151"/>
    </row>
    <row r="697">
      <c r="A697" s="151"/>
      <c r="B697" s="151"/>
      <c r="C697" s="151"/>
    </row>
    <row r="698">
      <c r="A698" s="151"/>
      <c r="B698" s="151"/>
      <c r="C698" s="151"/>
    </row>
    <row r="699">
      <c r="A699" s="151"/>
      <c r="B699" s="151"/>
      <c r="C699" s="151"/>
    </row>
    <row r="700">
      <c r="A700" s="151"/>
      <c r="B700" s="151"/>
      <c r="C700" s="151"/>
    </row>
    <row r="701">
      <c r="A701" s="151"/>
      <c r="B701" s="151"/>
      <c r="C701" s="151"/>
    </row>
    <row r="702">
      <c r="A702" s="151"/>
      <c r="B702" s="151"/>
      <c r="C702" s="151"/>
    </row>
    <row r="703">
      <c r="A703" s="151"/>
      <c r="B703" s="151"/>
      <c r="C703" s="151"/>
    </row>
    <row r="704">
      <c r="A704" s="151"/>
      <c r="B704" s="151"/>
      <c r="C704" s="151"/>
    </row>
    <row r="705">
      <c r="A705" s="151"/>
      <c r="B705" s="151"/>
      <c r="C705" s="151"/>
    </row>
    <row r="706">
      <c r="A706" s="151"/>
      <c r="B706" s="151"/>
      <c r="C706" s="151"/>
    </row>
    <row r="707">
      <c r="A707" s="151"/>
      <c r="B707" s="151"/>
      <c r="C707" s="151"/>
    </row>
    <row r="708">
      <c r="A708" s="151"/>
      <c r="B708" s="151"/>
      <c r="C708" s="151"/>
    </row>
    <row r="709">
      <c r="A709" s="151"/>
      <c r="B709" s="151"/>
      <c r="C709" s="151"/>
    </row>
    <row r="710">
      <c r="A710" s="151"/>
      <c r="B710" s="151"/>
      <c r="C710" s="151"/>
    </row>
    <row r="711">
      <c r="A711" s="151"/>
      <c r="B711" s="151"/>
      <c r="C711" s="151"/>
    </row>
    <row r="712">
      <c r="A712" s="151"/>
      <c r="B712" s="151"/>
      <c r="C712" s="151"/>
    </row>
    <row r="713">
      <c r="A713" s="151"/>
      <c r="B713" s="151"/>
      <c r="C713" s="151"/>
    </row>
    <row r="714">
      <c r="A714" s="151"/>
      <c r="B714" s="151"/>
      <c r="C714" s="151"/>
    </row>
    <row r="715">
      <c r="A715" s="151"/>
      <c r="B715" s="151"/>
      <c r="C715" s="151"/>
    </row>
    <row r="716">
      <c r="A716" s="151"/>
      <c r="B716" s="151"/>
      <c r="C716" s="151"/>
    </row>
    <row r="717">
      <c r="A717" s="151"/>
      <c r="B717" s="151"/>
      <c r="C717" s="151"/>
    </row>
    <row r="718">
      <c r="A718" s="151"/>
      <c r="B718" s="151"/>
      <c r="C718" s="151"/>
    </row>
    <row r="719">
      <c r="A719" s="151"/>
      <c r="B719" s="151"/>
      <c r="C719" s="151"/>
    </row>
    <row r="720">
      <c r="A720" s="151"/>
      <c r="B720" s="151"/>
      <c r="C720" s="151"/>
    </row>
    <row r="721">
      <c r="A721" s="151"/>
      <c r="B721" s="151"/>
      <c r="C721" s="151"/>
    </row>
    <row r="722">
      <c r="A722" s="151"/>
      <c r="B722" s="151"/>
      <c r="C722" s="151"/>
    </row>
    <row r="723">
      <c r="A723" s="151"/>
      <c r="B723" s="151"/>
      <c r="C723" s="151"/>
    </row>
    <row r="724">
      <c r="A724" s="151"/>
      <c r="B724" s="151"/>
      <c r="C724" s="151"/>
    </row>
    <row r="725">
      <c r="A725" s="151"/>
      <c r="B725" s="151"/>
      <c r="C725" s="151"/>
    </row>
    <row r="726">
      <c r="A726" s="151"/>
      <c r="B726" s="151"/>
      <c r="C726" s="151"/>
    </row>
    <row r="727">
      <c r="A727" s="151"/>
      <c r="B727" s="151"/>
      <c r="C727" s="151"/>
    </row>
    <row r="728">
      <c r="A728" s="151"/>
      <c r="B728" s="151"/>
      <c r="C728" s="151"/>
    </row>
    <row r="729">
      <c r="A729" s="151"/>
      <c r="B729" s="151"/>
      <c r="C729" s="151"/>
    </row>
    <row r="730">
      <c r="A730" s="151"/>
      <c r="B730" s="151"/>
      <c r="C730" s="151"/>
    </row>
    <row r="731">
      <c r="A731" s="151"/>
      <c r="B731" s="151"/>
      <c r="C731" s="151"/>
    </row>
    <row r="732">
      <c r="A732" s="151"/>
      <c r="B732" s="151"/>
      <c r="C732" s="151"/>
    </row>
    <row r="733">
      <c r="A733" s="151"/>
      <c r="B733" s="151"/>
      <c r="C733" s="151"/>
    </row>
    <row r="734">
      <c r="A734" s="151"/>
      <c r="B734" s="151"/>
      <c r="C734" s="151"/>
    </row>
    <row r="735">
      <c r="A735" s="151"/>
      <c r="B735" s="151"/>
      <c r="C735" s="151"/>
    </row>
    <row r="736">
      <c r="A736" s="151"/>
      <c r="B736" s="151"/>
      <c r="C736" s="151"/>
    </row>
    <row r="737">
      <c r="A737" s="151"/>
      <c r="B737" s="151"/>
      <c r="C737" s="151"/>
    </row>
    <row r="738">
      <c r="A738" s="151"/>
      <c r="B738" s="151"/>
      <c r="C738" s="151"/>
    </row>
    <row r="739">
      <c r="A739" s="151"/>
      <c r="B739" s="151"/>
      <c r="C739" s="151"/>
    </row>
    <row r="740">
      <c r="A740" s="151"/>
      <c r="B740" s="151"/>
      <c r="C740" s="151"/>
    </row>
    <row r="741">
      <c r="A741" s="151"/>
      <c r="B741" s="151"/>
      <c r="C741" s="151"/>
    </row>
    <row r="742">
      <c r="A742" s="151"/>
      <c r="B742" s="151"/>
      <c r="C742" s="151"/>
    </row>
    <row r="743">
      <c r="A743" s="151"/>
      <c r="B743" s="151"/>
      <c r="C743" s="151"/>
    </row>
    <row r="744">
      <c r="A744" s="151"/>
      <c r="B744" s="151"/>
      <c r="C744" s="151"/>
    </row>
    <row r="745">
      <c r="A745" s="151"/>
      <c r="B745" s="151"/>
      <c r="C745" s="151"/>
    </row>
    <row r="746">
      <c r="A746" s="151"/>
      <c r="B746" s="151"/>
      <c r="C746" s="151"/>
    </row>
    <row r="747">
      <c r="A747" s="151"/>
      <c r="B747" s="151"/>
      <c r="C747" s="151"/>
    </row>
    <row r="748">
      <c r="A748" s="151"/>
      <c r="B748" s="151"/>
      <c r="C748" s="151"/>
    </row>
    <row r="749">
      <c r="A749" s="151"/>
      <c r="B749" s="151"/>
      <c r="C749" s="151"/>
    </row>
    <row r="750">
      <c r="A750" s="151"/>
      <c r="B750" s="151"/>
      <c r="C750" s="151"/>
    </row>
    <row r="751">
      <c r="A751" s="151"/>
      <c r="B751" s="151"/>
      <c r="C751" s="151"/>
    </row>
    <row r="752">
      <c r="A752" s="151"/>
      <c r="B752" s="151"/>
      <c r="C752" s="151"/>
    </row>
    <row r="753">
      <c r="A753" s="151"/>
      <c r="B753" s="151"/>
      <c r="C753" s="151"/>
    </row>
    <row r="754">
      <c r="A754" s="151"/>
      <c r="B754" s="151"/>
      <c r="C754" s="151"/>
    </row>
    <row r="755">
      <c r="A755" s="151"/>
      <c r="B755" s="151"/>
      <c r="C755" s="151"/>
    </row>
    <row r="756">
      <c r="A756" s="151"/>
      <c r="B756" s="151"/>
      <c r="C756" s="151"/>
    </row>
    <row r="757">
      <c r="A757" s="151"/>
      <c r="B757" s="151"/>
      <c r="C757" s="151"/>
    </row>
    <row r="758">
      <c r="A758" s="151"/>
      <c r="B758" s="151"/>
      <c r="C758" s="151"/>
    </row>
    <row r="759">
      <c r="A759" s="151"/>
      <c r="B759" s="151"/>
      <c r="C759" s="151"/>
    </row>
    <row r="760">
      <c r="A760" s="151"/>
      <c r="B760" s="151"/>
      <c r="C760" s="151"/>
    </row>
    <row r="761">
      <c r="A761" s="151"/>
      <c r="B761" s="151"/>
      <c r="C761" s="151"/>
    </row>
    <row r="762">
      <c r="A762" s="151"/>
      <c r="B762" s="151"/>
      <c r="C762" s="151"/>
    </row>
    <row r="763">
      <c r="A763" s="151"/>
      <c r="B763" s="151"/>
      <c r="C763" s="151"/>
    </row>
    <row r="764">
      <c r="A764" s="151"/>
      <c r="B764" s="151"/>
      <c r="C764" s="151"/>
    </row>
    <row r="765">
      <c r="A765" s="151"/>
      <c r="B765" s="151"/>
      <c r="C765" s="151"/>
    </row>
    <row r="766">
      <c r="A766" s="151"/>
      <c r="B766" s="151"/>
      <c r="C766" s="151"/>
    </row>
    <row r="767">
      <c r="A767" s="151"/>
      <c r="B767" s="151"/>
      <c r="C767" s="151"/>
    </row>
    <row r="768">
      <c r="A768" s="151"/>
      <c r="B768" s="151"/>
      <c r="C768" s="151"/>
    </row>
    <row r="769">
      <c r="A769" s="151"/>
      <c r="B769" s="151"/>
      <c r="C769" s="151"/>
    </row>
    <row r="770">
      <c r="A770" s="151"/>
      <c r="B770" s="151"/>
      <c r="C770" s="151"/>
    </row>
    <row r="771">
      <c r="A771" s="151"/>
      <c r="B771" s="151"/>
      <c r="C771" s="151"/>
    </row>
    <row r="772">
      <c r="A772" s="151"/>
      <c r="B772" s="151"/>
      <c r="C772" s="151"/>
    </row>
    <row r="773">
      <c r="A773" s="151"/>
      <c r="B773" s="151"/>
      <c r="C773" s="151"/>
    </row>
    <row r="774">
      <c r="A774" s="151"/>
      <c r="B774" s="151"/>
      <c r="C774" s="151"/>
    </row>
    <row r="775">
      <c r="A775" s="151"/>
      <c r="B775" s="151"/>
      <c r="C775" s="151"/>
    </row>
    <row r="776">
      <c r="A776" s="151"/>
      <c r="B776" s="151"/>
      <c r="C776" s="151"/>
    </row>
    <row r="777">
      <c r="A777" s="151"/>
      <c r="B777" s="151"/>
      <c r="C777" s="151"/>
    </row>
    <row r="778">
      <c r="A778" s="151"/>
      <c r="B778" s="151"/>
      <c r="C778" s="151"/>
    </row>
    <row r="779">
      <c r="A779" s="151"/>
      <c r="B779" s="151"/>
      <c r="C779" s="151"/>
    </row>
    <row r="780">
      <c r="A780" s="151"/>
      <c r="B780" s="151"/>
      <c r="C780" s="151"/>
    </row>
    <row r="781">
      <c r="A781" s="151"/>
      <c r="B781" s="151"/>
      <c r="C781" s="151"/>
    </row>
    <row r="782">
      <c r="A782" s="151"/>
      <c r="B782" s="151"/>
      <c r="C782" s="151"/>
    </row>
    <row r="783">
      <c r="A783" s="151"/>
      <c r="B783" s="151"/>
      <c r="C783" s="151"/>
    </row>
    <row r="784">
      <c r="A784" s="151"/>
      <c r="B784" s="151"/>
      <c r="C784" s="151"/>
    </row>
    <row r="785">
      <c r="A785" s="151"/>
      <c r="B785" s="151"/>
      <c r="C785" s="151"/>
    </row>
    <row r="786">
      <c r="A786" s="151"/>
      <c r="B786" s="151"/>
      <c r="C786" s="151"/>
    </row>
    <row r="787">
      <c r="A787" s="151"/>
      <c r="B787" s="151"/>
      <c r="C787" s="151"/>
    </row>
    <row r="788">
      <c r="A788" s="151"/>
      <c r="B788" s="151"/>
      <c r="C788" s="151"/>
    </row>
    <row r="789">
      <c r="A789" s="151"/>
      <c r="B789" s="151"/>
      <c r="C789" s="151"/>
    </row>
    <row r="790">
      <c r="A790" s="151"/>
      <c r="B790" s="151"/>
      <c r="C790" s="151"/>
    </row>
    <row r="791">
      <c r="A791" s="151"/>
      <c r="B791" s="151"/>
      <c r="C791" s="151"/>
    </row>
    <row r="792">
      <c r="A792" s="151"/>
      <c r="B792" s="151"/>
      <c r="C792" s="151"/>
    </row>
    <row r="793">
      <c r="A793" s="151"/>
      <c r="B793" s="151"/>
      <c r="C793" s="151"/>
    </row>
    <row r="794">
      <c r="A794" s="151"/>
      <c r="B794" s="151"/>
      <c r="C794" s="151"/>
    </row>
    <row r="795">
      <c r="A795" s="151"/>
      <c r="B795" s="151"/>
      <c r="C795" s="151"/>
    </row>
    <row r="796">
      <c r="A796" s="151"/>
      <c r="B796" s="151"/>
      <c r="C796" s="151"/>
    </row>
    <row r="797">
      <c r="A797" s="151"/>
      <c r="B797" s="151"/>
      <c r="C797" s="151"/>
    </row>
    <row r="798">
      <c r="A798" s="151"/>
      <c r="B798" s="151"/>
      <c r="C798" s="151"/>
    </row>
    <row r="799">
      <c r="A799" s="151"/>
      <c r="B799" s="151"/>
      <c r="C799" s="151"/>
    </row>
    <row r="800">
      <c r="A800" s="151"/>
      <c r="B800" s="151"/>
      <c r="C800" s="151"/>
    </row>
    <row r="801">
      <c r="A801" s="151"/>
      <c r="B801" s="151"/>
      <c r="C801" s="151"/>
    </row>
    <row r="802">
      <c r="A802" s="151"/>
      <c r="B802" s="151"/>
      <c r="C802" s="151"/>
    </row>
    <row r="803">
      <c r="A803" s="151"/>
      <c r="B803" s="151"/>
      <c r="C803" s="151"/>
    </row>
    <row r="804">
      <c r="A804" s="151"/>
      <c r="B804" s="151"/>
      <c r="C804" s="151"/>
    </row>
    <row r="805">
      <c r="A805" s="151"/>
      <c r="B805" s="151"/>
      <c r="C805" s="151"/>
    </row>
    <row r="806">
      <c r="A806" s="151"/>
      <c r="B806" s="151"/>
      <c r="C806" s="151"/>
    </row>
    <row r="807">
      <c r="A807" s="151"/>
      <c r="B807" s="151"/>
      <c r="C807" s="151"/>
    </row>
    <row r="808">
      <c r="A808" s="151"/>
      <c r="B808" s="151"/>
      <c r="C808" s="151"/>
    </row>
    <row r="809">
      <c r="A809" s="151"/>
      <c r="B809" s="151"/>
      <c r="C809" s="151"/>
    </row>
    <row r="810">
      <c r="A810" s="151"/>
      <c r="B810" s="151"/>
      <c r="C810" s="151"/>
    </row>
    <row r="811">
      <c r="A811" s="151"/>
      <c r="B811" s="151"/>
      <c r="C811" s="151"/>
    </row>
    <row r="812">
      <c r="A812" s="151"/>
      <c r="B812" s="151"/>
      <c r="C812" s="151"/>
    </row>
    <row r="813">
      <c r="A813" s="151"/>
      <c r="B813" s="151"/>
      <c r="C813" s="151"/>
    </row>
    <row r="814">
      <c r="A814" s="151"/>
      <c r="B814" s="151"/>
      <c r="C814" s="151"/>
    </row>
    <row r="815">
      <c r="A815" s="151"/>
      <c r="B815" s="151"/>
      <c r="C815" s="151"/>
    </row>
    <row r="816">
      <c r="A816" s="151"/>
      <c r="B816" s="151"/>
      <c r="C816" s="151"/>
    </row>
    <row r="817">
      <c r="A817" s="151"/>
      <c r="B817" s="151"/>
      <c r="C817" s="151"/>
    </row>
    <row r="818">
      <c r="A818" s="151"/>
      <c r="B818" s="151"/>
      <c r="C818" s="151"/>
    </row>
    <row r="819">
      <c r="A819" s="151"/>
      <c r="B819" s="151"/>
      <c r="C819" s="151"/>
    </row>
    <row r="820">
      <c r="A820" s="151"/>
      <c r="B820" s="151"/>
      <c r="C820" s="151"/>
    </row>
    <row r="821">
      <c r="A821" s="151"/>
      <c r="B821" s="151"/>
      <c r="C821" s="151"/>
    </row>
    <row r="822">
      <c r="A822" s="151"/>
      <c r="B822" s="151"/>
      <c r="C822" s="151"/>
    </row>
    <row r="823">
      <c r="A823" s="151"/>
      <c r="B823" s="151"/>
      <c r="C823" s="151"/>
    </row>
    <row r="824">
      <c r="A824" s="151"/>
      <c r="B824" s="151"/>
      <c r="C824" s="151"/>
    </row>
    <row r="825">
      <c r="A825" s="151"/>
      <c r="B825" s="151"/>
      <c r="C825" s="151"/>
    </row>
    <row r="826">
      <c r="A826" s="151"/>
      <c r="B826" s="151"/>
      <c r="C826" s="151"/>
    </row>
    <row r="827">
      <c r="A827" s="151"/>
      <c r="B827" s="151"/>
      <c r="C827" s="151"/>
    </row>
    <row r="828">
      <c r="A828" s="151"/>
      <c r="B828" s="151"/>
      <c r="C828" s="151"/>
    </row>
    <row r="829">
      <c r="A829" s="151"/>
      <c r="B829" s="151"/>
      <c r="C829" s="151"/>
    </row>
    <row r="830">
      <c r="A830" s="151"/>
      <c r="B830" s="151"/>
      <c r="C830" s="151"/>
    </row>
    <row r="831">
      <c r="A831" s="151"/>
      <c r="B831" s="151"/>
      <c r="C831" s="151"/>
    </row>
    <row r="832">
      <c r="A832" s="151"/>
      <c r="B832" s="151"/>
      <c r="C832" s="151"/>
    </row>
    <row r="833">
      <c r="A833" s="151"/>
      <c r="B833" s="151"/>
      <c r="C833" s="151"/>
    </row>
    <row r="834">
      <c r="A834" s="151"/>
      <c r="B834" s="151"/>
      <c r="C834" s="151"/>
    </row>
    <row r="835">
      <c r="A835" s="151"/>
      <c r="B835" s="151"/>
      <c r="C835" s="151"/>
    </row>
    <row r="836">
      <c r="A836" s="151"/>
      <c r="B836" s="151"/>
      <c r="C836" s="151"/>
    </row>
    <row r="837">
      <c r="A837" s="151"/>
      <c r="B837" s="151"/>
      <c r="C837" s="151"/>
    </row>
    <row r="838">
      <c r="A838" s="151"/>
      <c r="B838" s="151"/>
      <c r="C838" s="151"/>
    </row>
    <row r="839">
      <c r="A839" s="151"/>
      <c r="B839" s="151"/>
      <c r="C839" s="151"/>
    </row>
    <row r="840">
      <c r="A840" s="151"/>
      <c r="B840" s="151"/>
      <c r="C840" s="151"/>
    </row>
    <row r="841">
      <c r="A841" s="151"/>
      <c r="B841" s="151"/>
      <c r="C841" s="151"/>
    </row>
    <row r="842">
      <c r="A842" s="151"/>
      <c r="B842" s="151"/>
      <c r="C842" s="151"/>
    </row>
    <row r="843">
      <c r="A843" s="151"/>
      <c r="B843" s="151"/>
      <c r="C843" s="151"/>
    </row>
    <row r="844">
      <c r="A844" s="151"/>
      <c r="B844" s="151"/>
      <c r="C844" s="151"/>
    </row>
    <row r="845">
      <c r="A845" s="151"/>
      <c r="B845" s="151"/>
      <c r="C845" s="151"/>
    </row>
    <row r="846">
      <c r="A846" s="151"/>
      <c r="B846" s="151"/>
      <c r="C846" s="151"/>
    </row>
    <row r="847">
      <c r="A847" s="151"/>
      <c r="B847" s="151"/>
      <c r="C847" s="151"/>
    </row>
    <row r="848">
      <c r="A848" s="151"/>
      <c r="B848" s="151"/>
      <c r="C848" s="151"/>
    </row>
    <row r="849">
      <c r="A849" s="151"/>
      <c r="B849" s="151"/>
      <c r="C849" s="151"/>
    </row>
    <row r="850">
      <c r="A850" s="151"/>
      <c r="B850" s="151"/>
      <c r="C850" s="151"/>
    </row>
    <row r="851">
      <c r="A851" s="151"/>
      <c r="B851" s="151"/>
      <c r="C851" s="151"/>
    </row>
    <row r="852">
      <c r="A852" s="151"/>
      <c r="B852" s="151"/>
      <c r="C852" s="151"/>
    </row>
    <row r="853">
      <c r="A853" s="151"/>
      <c r="B853" s="151"/>
      <c r="C853" s="151"/>
    </row>
    <row r="854">
      <c r="A854" s="151"/>
      <c r="B854" s="151"/>
      <c r="C854" s="151"/>
    </row>
    <row r="855">
      <c r="A855" s="151"/>
      <c r="B855" s="151"/>
      <c r="C855" s="151"/>
    </row>
    <row r="856">
      <c r="A856" s="151"/>
      <c r="B856" s="151"/>
      <c r="C856" s="151"/>
    </row>
    <row r="857">
      <c r="A857" s="151"/>
      <c r="B857" s="151"/>
      <c r="C857" s="151"/>
    </row>
    <row r="858">
      <c r="A858" s="151"/>
      <c r="B858" s="151"/>
      <c r="C858" s="151"/>
    </row>
    <row r="859">
      <c r="A859" s="151"/>
      <c r="B859" s="151"/>
      <c r="C859" s="151"/>
    </row>
    <row r="860">
      <c r="A860" s="151"/>
      <c r="B860" s="151"/>
      <c r="C860" s="151"/>
    </row>
    <row r="861">
      <c r="A861" s="151"/>
      <c r="B861" s="151"/>
      <c r="C861" s="151"/>
    </row>
    <row r="862">
      <c r="A862" s="151"/>
      <c r="B862" s="151"/>
      <c r="C862" s="151"/>
    </row>
    <row r="863">
      <c r="A863" s="151"/>
      <c r="B863" s="151"/>
      <c r="C863" s="151"/>
    </row>
    <row r="864">
      <c r="A864" s="151"/>
      <c r="B864" s="151"/>
      <c r="C864" s="151"/>
    </row>
    <row r="865">
      <c r="A865" s="151"/>
      <c r="B865" s="151"/>
      <c r="C865" s="151"/>
    </row>
    <row r="866">
      <c r="A866" s="151"/>
      <c r="B866" s="151"/>
      <c r="C866" s="151"/>
    </row>
    <row r="867">
      <c r="A867" s="151"/>
      <c r="B867" s="151"/>
      <c r="C867" s="151"/>
    </row>
    <row r="868">
      <c r="A868" s="151"/>
      <c r="B868" s="151"/>
      <c r="C868" s="151"/>
    </row>
    <row r="869">
      <c r="A869" s="151"/>
      <c r="B869" s="151"/>
      <c r="C869" s="151"/>
    </row>
    <row r="870">
      <c r="A870" s="151"/>
      <c r="B870" s="151"/>
      <c r="C870" s="151"/>
    </row>
    <row r="871">
      <c r="A871" s="151"/>
      <c r="B871" s="151"/>
      <c r="C871" s="151"/>
    </row>
    <row r="872">
      <c r="A872" s="151"/>
      <c r="B872" s="151"/>
      <c r="C872" s="151"/>
    </row>
    <row r="873">
      <c r="A873" s="151"/>
      <c r="B873" s="151"/>
      <c r="C873" s="151"/>
    </row>
    <row r="874">
      <c r="A874" s="151"/>
      <c r="B874" s="151"/>
      <c r="C874" s="151"/>
    </row>
    <row r="875">
      <c r="A875" s="151"/>
      <c r="B875" s="151"/>
      <c r="C875" s="151"/>
    </row>
    <row r="876">
      <c r="A876" s="151"/>
      <c r="B876" s="151"/>
      <c r="C876" s="151"/>
    </row>
    <row r="877">
      <c r="A877" s="151"/>
      <c r="B877" s="151"/>
      <c r="C877" s="151"/>
    </row>
    <row r="878">
      <c r="A878" s="151"/>
      <c r="B878" s="151"/>
      <c r="C878" s="151"/>
    </row>
    <row r="879">
      <c r="A879" s="151"/>
      <c r="B879" s="151"/>
      <c r="C879" s="151"/>
    </row>
    <row r="880">
      <c r="A880" s="151"/>
      <c r="B880" s="151"/>
      <c r="C880" s="151"/>
    </row>
    <row r="881">
      <c r="A881" s="151"/>
      <c r="B881" s="151"/>
      <c r="C881" s="151"/>
    </row>
    <row r="882">
      <c r="A882" s="151"/>
      <c r="B882" s="151"/>
      <c r="C882" s="151"/>
    </row>
    <row r="883">
      <c r="A883" s="151"/>
      <c r="B883" s="151"/>
      <c r="C883" s="151"/>
    </row>
    <row r="884">
      <c r="A884" s="151"/>
      <c r="B884" s="151"/>
      <c r="C884" s="151"/>
    </row>
    <row r="885">
      <c r="A885" s="151"/>
      <c r="B885" s="151"/>
      <c r="C885" s="151"/>
    </row>
    <row r="886">
      <c r="A886" s="151"/>
      <c r="B886" s="151"/>
      <c r="C886" s="151"/>
    </row>
    <row r="887">
      <c r="A887" s="151"/>
      <c r="B887" s="151"/>
      <c r="C887" s="151"/>
    </row>
    <row r="888">
      <c r="A888" s="151"/>
      <c r="B888" s="151"/>
      <c r="C888" s="151"/>
    </row>
    <row r="889">
      <c r="A889" s="151"/>
      <c r="B889" s="151"/>
      <c r="C889" s="151"/>
    </row>
    <row r="890">
      <c r="A890" s="151"/>
      <c r="B890" s="151"/>
      <c r="C890" s="151"/>
    </row>
    <row r="891">
      <c r="A891" s="151"/>
      <c r="B891" s="151"/>
      <c r="C891" s="151"/>
    </row>
    <row r="892">
      <c r="A892" s="151"/>
      <c r="B892" s="151"/>
      <c r="C892" s="151"/>
    </row>
    <row r="893">
      <c r="A893" s="151"/>
      <c r="B893" s="151"/>
      <c r="C893" s="151"/>
    </row>
    <row r="894">
      <c r="A894" s="151"/>
      <c r="B894" s="151"/>
      <c r="C894" s="151"/>
    </row>
    <row r="895">
      <c r="A895" s="151"/>
      <c r="B895" s="151"/>
      <c r="C895" s="151"/>
    </row>
    <row r="896">
      <c r="A896" s="151"/>
      <c r="B896" s="151"/>
      <c r="C896" s="151"/>
    </row>
    <row r="897">
      <c r="A897" s="151"/>
      <c r="B897" s="151"/>
      <c r="C897" s="151"/>
    </row>
    <row r="898">
      <c r="A898" s="151"/>
      <c r="B898" s="151"/>
      <c r="C898" s="151"/>
    </row>
    <row r="899">
      <c r="A899" s="151"/>
      <c r="B899" s="151"/>
      <c r="C899" s="151"/>
    </row>
    <row r="900">
      <c r="A900" s="151"/>
      <c r="B900" s="151"/>
      <c r="C900" s="151"/>
    </row>
    <row r="901">
      <c r="A901" s="151"/>
      <c r="B901" s="151"/>
      <c r="C901" s="151"/>
    </row>
    <row r="902">
      <c r="A902" s="151"/>
      <c r="B902" s="151"/>
      <c r="C902" s="151"/>
    </row>
    <row r="903">
      <c r="A903" s="151"/>
      <c r="B903" s="151"/>
      <c r="C903" s="151"/>
    </row>
    <row r="904">
      <c r="A904" s="151"/>
      <c r="B904" s="151"/>
      <c r="C904" s="151"/>
    </row>
    <row r="905">
      <c r="A905" s="151"/>
      <c r="B905" s="151"/>
      <c r="C905" s="151"/>
    </row>
    <row r="906">
      <c r="A906" s="151"/>
      <c r="B906" s="151"/>
      <c r="C906" s="151"/>
    </row>
    <row r="907">
      <c r="A907" s="151"/>
      <c r="B907" s="151"/>
      <c r="C907" s="151"/>
    </row>
    <row r="908">
      <c r="A908" s="151"/>
      <c r="B908" s="151"/>
      <c r="C908" s="151"/>
    </row>
    <row r="909">
      <c r="A909" s="151"/>
      <c r="B909" s="151"/>
      <c r="C909" s="151"/>
    </row>
    <row r="910">
      <c r="A910" s="151"/>
      <c r="B910" s="151"/>
      <c r="C910" s="151"/>
    </row>
    <row r="911">
      <c r="A911" s="151"/>
      <c r="B911" s="151"/>
      <c r="C911" s="151"/>
    </row>
    <row r="912">
      <c r="A912" s="151"/>
      <c r="B912" s="151"/>
      <c r="C912" s="151"/>
    </row>
    <row r="913">
      <c r="A913" s="151"/>
      <c r="B913" s="151"/>
      <c r="C913" s="151"/>
    </row>
    <row r="914">
      <c r="A914" s="151"/>
      <c r="B914" s="151"/>
      <c r="C914" s="151"/>
    </row>
    <row r="915">
      <c r="A915" s="151"/>
      <c r="B915" s="151"/>
      <c r="C915" s="151"/>
    </row>
    <row r="916">
      <c r="A916" s="151"/>
      <c r="B916" s="151"/>
      <c r="C916" s="151"/>
    </row>
    <row r="917">
      <c r="A917" s="151"/>
      <c r="B917" s="151"/>
      <c r="C917" s="151"/>
    </row>
    <row r="918">
      <c r="A918" s="151"/>
      <c r="B918" s="151"/>
      <c r="C918" s="151"/>
    </row>
    <row r="919">
      <c r="A919" s="151"/>
      <c r="B919" s="151"/>
      <c r="C919" s="151"/>
    </row>
    <row r="920">
      <c r="A920" s="151"/>
      <c r="B920" s="151"/>
      <c r="C920" s="151"/>
    </row>
    <row r="921">
      <c r="A921" s="151"/>
      <c r="B921" s="151"/>
      <c r="C921" s="151"/>
    </row>
    <row r="922">
      <c r="A922" s="151"/>
      <c r="B922" s="151"/>
      <c r="C922" s="151"/>
    </row>
    <row r="923">
      <c r="A923" s="151"/>
      <c r="B923" s="151"/>
      <c r="C923" s="151"/>
    </row>
    <row r="924">
      <c r="A924" s="151"/>
      <c r="B924" s="151"/>
      <c r="C924" s="151"/>
    </row>
    <row r="925">
      <c r="A925" s="151"/>
      <c r="B925" s="151"/>
      <c r="C925" s="151"/>
    </row>
    <row r="926">
      <c r="A926" s="151"/>
      <c r="B926" s="151"/>
      <c r="C926" s="151"/>
    </row>
    <row r="927">
      <c r="A927" s="151"/>
      <c r="B927" s="151"/>
      <c r="C927" s="151"/>
    </row>
    <row r="928">
      <c r="A928" s="151"/>
      <c r="B928" s="151"/>
      <c r="C928" s="151"/>
    </row>
    <row r="929">
      <c r="A929" s="151"/>
      <c r="B929" s="151"/>
      <c r="C929" s="151"/>
    </row>
    <row r="930">
      <c r="A930" s="151"/>
      <c r="B930" s="151"/>
      <c r="C930" s="151"/>
    </row>
    <row r="931">
      <c r="A931" s="151"/>
      <c r="B931" s="151"/>
      <c r="C931" s="151"/>
    </row>
    <row r="932">
      <c r="A932" s="151"/>
      <c r="B932" s="151"/>
      <c r="C932" s="151"/>
    </row>
    <row r="933">
      <c r="A933" s="151"/>
      <c r="B933" s="151"/>
      <c r="C933" s="151"/>
    </row>
    <row r="934">
      <c r="A934" s="151"/>
      <c r="B934" s="151"/>
      <c r="C934" s="151"/>
    </row>
    <row r="935">
      <c r="A935" s="151"/>
      <c r="B935" s="151"/>
      <c r="C935" s="151"/>
    </row>
    <row r="936">
      <c r="A936" s="151"/>
      <c r="B936" s="151"/>
      <c r="C936" s="151"/>
    </row>
    <row r="937">
      <c r="A937" s="151"/>
      <c r="B937" s="151"/>
      <c r="C937" s="151"/>
    </row>
    <row r="938">
      <c r="A938" s="151"/>
      <c r="B938" s="151"/>
      <c r="C938" s="151"/>
    </row>
    <row r="939">
      <c r="A939" s="151"/>
      <c r="B939" s="151"/>
      <c r="C939" s="151"/>
    </row>
    <row r="940">
      <c r="A940" s="151"/>
      <c r="B940" s="151"/>
      <c r="C940" s="151"/>
    </row>
    <row r="941">
      <c r="A941" s="151"/>
      <c r="B941" s="151"/>
      <c r="C941" s="151"/>
    </row>
    <row r="942">
      <c r="A942" s="151"/>
      <c r="B942" s="151"/>
      <c r="C942" s="151"/>
    </row>
    <row r="943">
      <c r="A943" s="151"/>
      <c r="B943" s="151"/>
      <c r="C943" s="151"/>
    </row>
    <row r="944">
      <c r="A944" s="151"/>
      <c r="B944" s="151"/>
      <c r="C944" s="151"/>
    </row>
    <row r="945">
      <c r="A945" s="151"/>
      <c r="B945" s="151"/>
      <c r="C945" s="151"/>
    </row>
    <row r="946">
      <c r="A946" s="151"/>
      <c r="B946" s="151"/>
      <c r="C946" s="151"/>
    </row>
    <row r="947">
      <c r="A947" s="151"/>
      <c r="B947" s="151"/>
      <c r="C947" s="151"/>
    </row>
    <row r="948">
      <c r="A948" s="151"/>
      <c r="B948" s="151"/>
      <c r="C948" s="151"/>
    </row>
    <row r="949">
      <c r="A949" s="151"/>
      <c r="B949" s="151"/>
      <c r="C949" s="151"/>
    </row>
    <row r="950">
      <c r="A950" s="151"/>
      <c r="B950" s="151"/>
      <c r="C950" s="151"/>
    </row>
    <row r="951">
      <c r="A951" s="151"/>
      <c r="B951" s="151"/>
      <c r="C951" s="151"/>
    </row>
    <row r="952">
      <c r="A952" s="151"/>
      <c r="B952" s="151"/>
      <c r="C952" s="151"/>
    </row>
    <row r="953">
      <c r="A953" s="151"/>
      <c r="B953" s="151"/>
      <c r="C953" s="151"/>
    </row>
    <row r="954">
      <c r="A954" s="151"/>
      <c r="B954" s="151"/>
      <c r="C954" s="151"/>
    </row>
    <row r="955">
      <c r="A955" s="151"/>
      <c r="B955" s="151"/>
      <c r="C955" s="151"/>
    </row>
    <row r="956">
      <c r="A956" s="151"/>
      <c r="B956" s="151"/>
      <c r="C956" s="151"/>
    </row>
    <row r="957">
      <c r="A957" s="151"/>
      <c r="B957" s="151"/>
      <c r="C957" s="151"/>
    </row>
    <row r="958">
      <c r="A958" s="151"/>
      <c r="B958" s="151"/>
      <c r="C958" s="151"/>
    </row>
    <row r="959">
      <c r="A959" s="151"/>
      <c r="B959" s="151"/>
      <c r="C959" s="151"/>
    </row>
    <row r="960">
      <c r="A960" s="151"/>
      <c r="B960" s="151"/>
      <c r="C960" s="151"/>
    </row>
    <row r="961">
      <c r="A961" s="151"/>
      <c r="B961" s="151"/>
      <c r="C961" s="151"/>
    </row>
    <row r="962">
      <c r="A962" s="151"/>
      <c r="B962" s="151"/>
      <c r="C962" s="151"/>
    </row>
    <row r="963">
      <c r="A963" s="151"/>
      <c r="B963" s="151"/>
      <c r="C963" s="151"/>
    </row>
    <row r="964">
      <c r="A964" s="151"/>
      <c r="B964" s="151"/>
      <c r="C964" s="151"/>
    </row>
    <row r="965">
      <c r="A965" s="151"/>
      <c r="B965" s="151"/>
      <c r="C965" s="151"/>
    </row>
    <row r="966">
      <c r="A966" s="151"/>
      <c r="B966" s="151"/>
      <c r="C966" s="151"/>
    </row>
    <row r="967">
      <c r="A967" s="151"/>
      <c r="B967" s="151"/>
      <c r="C967" s="151"/>
    </row>
    <row r="968">
      <c r="A968" s="151"/>
      <c r="B968" s="151"/>
      <c r="C968" s="151"/>
    </row>
    <row r="969">
      <c r="A969" s="151"/>
      <c r="B969" s="151"/>
      <c r="C969" s="151"/>
    </row>
    <row r="970">
      <c r="A970" s="151"/>
      <c r="B970" s="151"/>
      <c r="C970" s="151"/>
    </row>
    <row r="971">
      <c r="A971" s="151"/>
      <c r="B971" s="151"/>
      <c r="C971" s="151"/>
    </row>
    <row r="972">
      <c r="A972" s="151"/>
      <c r="B972" s="151"/>
      <c r="C972" s="151"/>
    </row>
    <row r="973">
      <c r="A973" s="151"/>
      <c r="B973" s="151"/>
      <c r="C973" s="151"/>
    </row>
    <row r="974">
      <c r="A974" s="151"/>
      <c r="B974" s="151"/>
      <c r="C974" s="151"/>
    </row>
    <row r="975">
      <c r="A975" s="151"/>
      <c r="B975" s="151"/>
      <c r="C975" s="151"/>
    </row>
    <row r="976">
      <c r="A976" s="151"/>
      <c r="B976" s="151"/>
      <c r="C976" s="151"/>
    </row>
    <row r="977">
      <c r="A977" s="151"/>
      <c r="B977" s="151"/>
      <c r="C977" s="151"/>
    </row>
    <row r="978">
      <c r="A978" s="151"/>
      <c r="B978" s="151"/>
      <c r="C978" s="151"/>
    </row>
    <row r="979">
      <c r="A979" s="151"/>
      <c r="B979" s="151"/>
      <c r="C979" s="151"/>
    </row>
    <row r="980">
      <c r="A980" s="151"/>
      <c r="B980" s="151"/>
      <c r="C980" s="151"/>
    </row>
    <row r="981">
      <c r="A981" s="151"/>
      <c r="B981" s="151"/>
      <c r="C981" s="151"/>
    </row>
    <row r="982">
      <c r="A982" s="151"/>
      <c r="B982" s="151"/>
      <c r="C982" s="151"/>
    </row>
    <row r="983">
      <c r="A983" s="151"/>
      <c r="B983" s="151"/>
      <c r="C983" s="151"/>
    </row>
    <row r="984">
      <c r="A984" s="151"/>
      <c r="B984" s="151"/>
      <c r="C984" s="151"/>
    </row>
    <row r="985">
      <c r="A985" s="151"/>
      <c r="B985" s="151"/>
      <c r="C985" s="151"/>
    </row>
    <row r="986">
      <c r="A986" s="151"/>
      <c r="B986" s="151"/>
      <c r="C986" s="151"/>
    </row>
    <row r="987">
      <c r="A987" s="151"/>
      <c r="B987" s="151"/>
      <c r="C987" s="151"/>
    </row>
    <row r="988">
      <c r="A988" s="151"/>
      <c r="B988" s="151"/>
      <c r="C988" s="151"/>
    </row>
    <row r="989">
      <c r="A989" s="151"/>
      <c r="B989" s="151"/>
      <c r="C989" s="151"/>
    </row>
    <row r="990">
      <c r="A990" s="151"/>
      <c r="B990" s="151"/>
      <c r="C990" s="151"/>
    </row>
    <row r="991">
      <c r="A991" s="151"/>
      <c r="B991" s="151"/>
      <c r="C991" s="151"/>
    </row>
    <row r="992">
      <c r="A992" s="151"/>
      <c r="B992" s="151"/>
      <c r="C992" s="151"/>
    </row>
    <row r="993">
      <c r="A993" s="151"/>
      <c r="B993" s="151"/>
      <c r="C993" s="151"/>
    </row>
    <row r="994">
      <c r="A994" s="151"/>
      <c r="B994" s="151"/>
      <c r="C994" s="151"/>
    </row>
    <row r="995">
      <c r="A995" s="151"/>
      <c r="B995" s="151"/>
      <c r="C995" s="151"/>
    </row>
    <row r="996">
      <c r="A996" s="151"/>
      <c r="B996" s="151"/>
      <c r="C996" s="151"/>
    </row>
    <row r="997">
      <c r="A997" s="151"/>
      <c r="B997" s="151"/>
      <c r="C997" s="151"/>
    </row>
    <row r="998">
      <c r="A998" s="151"/>
      <c r="B998" s="151"/>
      <c r="C998" s="151"/>
    </row>
    <row r="999">
      <c r="A999" s="151"/>
      <c r="B999" s="151"/>
      <c r="C999" s="151"/>
    </row>
  </sheetData>
  <mergeCells count="12">
    <mergeCell ref="A190:A221"/>
    <mergeCell ref="A222:A252"/>
    <mergeCell ref="A253:A284"/>
    <mergeCell ref="A285:A316"/>
    <mergeCell ref="A317:A348"/>
    <mergeCell ref="A2:A32"/>
    <mergeCell ref="B32:C32"/>
    <mergeCell ref="A33:A64"/>
    <mergeCell ref="A65:A96"/>
    <mergeCell ref="A97:A125"/>
    <mergeCell ref="A126:A157"/>
    <mergeCell ref="A158:A18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88"/>
    <col customWidth="1" min="5" max="5" width="11.88"/>
    <col customWidth="1" min="6" max="6" width="10.63"/>
    <col customWidth="1" min="7" max="7" width="15.0"/>
    <col customWidth="1" min="8" max="8" width="10.0"/>
    <col customWidth="1" min="9" max="9" width="11.63"/>
    <col customWidth="1" min="10" max="10" width="9.63"/>
    <col customWidth="1" min="11" max="11" width="7.25"/>
    <col customWidth="1" min="12" max="12" width="11.0"/>
    <col customWidth="1" min="13" max="15" width="16.88"/>
  </cols>
  <sheetData>
    <row r="1">
      <c r="A1" s="1"/>
      <c r="B1" s="4" t="s">
        <v>1</v>
      </c>
      <c r="C1" s="4" t="s">
        <v>2</v>
      </c>
      <c r="D1" s="7" t="s">
        <v>4</v>
      </c>
      <c r="E1" s="7" t="s">
        <v>7</v>
      </c>
      <c r="F1" s="7" t="s">
        <v>9</v>
      </c>
      <c r="G1" s="7" t="s">
        <v>11</v>
      </c>
      <c r="H1" s="8" t="s">
        <v>13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21</v>
      </c>
      <c r="N1" s="8" t="s">
        <v>22</v>
      </c>
      <c r="O1" s="8" t="s">
        <v>25</v>
      </c>
    </row>
    <row r="2">
      <c r="A2" s="11" t="s">
        <v>27</v>
      </c>
      <c r="B2" s="13">
        <v>46027.0</v>
      </c>
      <c r="C2" s="16" t="s">
        <v>30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>
      <c r="A3" s="22"/>
      <c r="B3" s="13">
        <v>46058.0</v>
      </c>
      <c r="C3" s="16" t="s">
        <v>29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>
      <c r="A4" s="22"/>
      <c r="B4" s="13">
        <v>46086.0</v>
      </c>
      <c r="C4" s="16" t="s">
        <v>31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>
      <c r="A5" s="22"/>
      <c r="B5" s="13">
        <v>46117.0</v>
      </c>
      <c r="C5" s="16" t="s">
        <v>32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>
      <c r="A6" s="22"/>
      <c r="B6" s="13">
        <v>46147.0</v>
      </c>
      <c r="C6" s="16" t="s">
        <v>34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>
      <c r="A7" s="22"/>
      <c r="B7" s="13">
        <v>46178.0</v>
      </c>
      <c r="C7" s="16" t="s">
        <v>35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22"/>
      <c r="B8" s="13">
        <v>46208.0</v>
      </c>
      <c r="C8" s="16" t="s">
        <v>36</v>
      </c>
      <c r="D8" s="33">
        <v>21756.0</v>
      </c>
      <c r="E8" s="33">
        <v>27925.0</v>
      </c>
      <c r="F8" s="33">
        <v>48128.0</v>
      </c>
      <c r="G8" s="33">
        <v>40097.0</v>
      </c>
      <c r="H8" s="33"/>
      <c r="I8" s="33"/>
      <c r="J8" s="33"/>
      <c r="K8" s="33"/>
      <c r="L8" s="33"/>
      <c r="M8" s="33"/>
      <c r="N8" s="33"/>
      <c r="O8" s="33">
        <v>137906.0</v>
      </c>
    </row>
    <row r="9">
      <c r="A9" s="22"/>
      <c r="B9" s="13">
        <v>46239.0</v>
      </c>
      <c r="C9" s="16" t="s">
        <v>30</v>
      </c>
      <c r="D9" s="33">
        <v>23876.0</v>
      </c>
      <c r="E9" s="33">
        <v>36263.0</v>
      </c>
      <c r="F9" s="33">
        <v>45570.0</v>
      </c>
      <c r="G9" s="33">
        <v>54705.0</v>
      </c>
      <c r="H9" s="33"/>
      <c r="I9" s="33"/>
      <c r="J9" s="33"/>
      <c r="K9" s="33"/>
      <c r="L9" s="33"/>
      <c r="M9" s="33"/>
      <c r="N9" s="33"/>
      <c r="O9" s="33">
        <v>160414.0</v>
      </c>
    </row>
    <row r="10">
      <c r="A10" s="22"/>
      <c r="B10" s="13">
        <v>46270.0</v>
      </c>
      <c r="C10" s="16" t="s">
        <v>29</v>
      </c>
      <c r="D10" s="33">
        <v>27733.0</v>
      </c>
      <c r="E10" s="33">
        <v>30475.0</v>
      </c>
      <c r="F10" s="33">
        <v>34273.0</v>
      </c>
      <c r="G10" s="33">
        <v>46608.0</v>
      </c>
      <c r="H10" s="33"/>
      <c r="I10" s="33"/>
      <c r="J10" s="33"/>
      <c r="K10" s="33"/>
      <c r="L10" s="33"/>
      <c r="M10" s="33"/>
      <c r="N10" s="33"/>
      <c r="O10" s="33">
        <v>139089.0</v>
      </c>
    </row>
    <row r="11">
      <c r="A11" s="22"/>
      <c r="B11" s="13">
        <v>46300.0</v>
      </c>
      <c r="C11" s="16" t="s">
        <v>31</v>
      </c>
      <c r="D11" s="33">
        <v>23018.0</v>
      </c>
      <c r="E11" s="33">
        <v>19003.0</v>
      </c>
      <c r="F11" s="33">
        <v>18941.0</v>
      </c>
      <c r="G11" s="33">
        <v>25605.0</v>
      </c>
      <c r="H11" s="33"/>
      <c r="I11" s="33"/>
      <c r="J11" s="33"/>
      <c r="K11" s="33"/>
      <c r="L11" s="33"/>
      <c r="M11" s="33"/>
      <c r="N11" s="33"/>
      <c r="O11" s="33">
        <v>86567.0</v>
      </c>
    </row>
    <row r="12">
      <c r="A12" s="22"/>
      <c r="B12" s="13">
        <v>46331.0</v>
      </c>
      <c r="C12" s="16" t="s">
        <v>32</v>
      </c>
      <c r="D12" s="33">
        <v>35049.0</v>
      </c>
      <c r="E12" s="33">
        <v>24728.0</v>
      </c>
      <c r="F12" s="33">
        <v>28982.0</v>
      </c>
      <c r="G12" s="33">
        <v>36782.0</v>
      </c>
      <c r="H12" s="33"/>
      <c r="I12" s="33"/>
      <c r="J12" s="33"/>
      <c r="K12" s="33"/>
      <c r="L12" s="33"/>
      <c r="M12" s="33"/>
      <c r="N12" s="33"/>
      <c r="O12" s="33">
        <v>125541.0</v>
      </c>
    </row>
    <row r="13">
      <c r="A13" s="22"/>
      <c r="B13" s="13">
        <v>46361.0</v>
      </c>
      <c r="C13" s="16" t="s">
        <v>34</v>
      </c>
      <c r="D13" s="33">
        <v>22710.0</v>
      </c>
      <c r="E13" s="33">
        <v>12746.0</v>
      </c>
      <c r="F13" s="33">
        <v>18361.0</v>
      </c>
      <c r="G13" s="33">
        <v>26220.0</v>
      </c>
      <c r="H13" s="33"/>
      <c r="I13" s="33"/>
      <c r="J13" s="33"/>
      <c r="K13" s="33"/>
      <c r="L13" s="33"/>
      <c r="M13" s="33"/>
      <c r="N13" s="33"/>
      <c r="O13" s="33">
        <v>80037.0</v>
      </c>
    </row>
    <row r="14">
      <c r="A14" s="22"/>
      <c r="B14" s="16" t="s">
        <v>45</v>
      </c>
      <c r="C14" s="16" t="s">
        <v>35</v>
      </c>
      <c r="D14" s="33">
        <v>23939.0</v>
      </c>
      <c r="E14" s="33">
        <v>17988.0</v>
      </c>
      <c r="F14" s="33">
        <v>17473.0</v>
      </c>
      <c r="G14" s="33">
        <v>30587.0</v>
      </c>
      <c r="H14" s="33"/>
      <c r="I14" s="33"/>
      <c r="J14" s="33"/>
      <c r="K14" s="33"/>
      <c r="L14" s="33"/>
      <c r="M14" s="33"/>
      <c r="N14" s="33"/>
      <c r="O14" s="33">
        <v>89987.0</v>
      </c>
    </row>
    <row r="15">
      <c r="A15" s="22"/>
      <c r="B15" s="16" t="s">
        <v>47</v>
      </c>
      <c r="C15" s="16" t="s">
        <v>36</v>
      </c>
      <c r="D15" s="33">
        <v>24015.0</v>
      </c>
      <c r="E15" s="33">
        <v>12928.0</v>
      </c>
      <c r="F15" s="33">
        <v>18727.0</v>
      </c>
      <c r="G15" s="33">
        <v>30236.0</v>
      </c>
      <c r="H15" s="33"/>
      <c r="I15" s="33"/>
      <c r="J15" s="33"/>
      <c r="K15" s="33"/>
      <c r="L15" s="33"/>
      <c r="M15" s="33"/>
      <c r="N15" s="33"/>
      <c r="O15" s="33">
        <v>85906.0</v>
      </c>
    </row>
    <row r="16">
      <c r="A16" s="22"/>
      <c r="B16" s="16" t="s">
        <v>49</v>
      </c>
      <c r="C16" s="16" t="s">
        <v>30</v>
      </c>
      <c r="D16" s="33">
        <v>28037.0</v>
      </c>
      <c r="E16" s="33">
        <v>10793.0</v>
      </c>
      <c r="F16" s="33">
        <v>15309.0</v>
      </c>
      <c r="G16" s="33">
        <v>37334.0</v>
      </c>
      <c r="H16" s="33"/>
      <c r="I16" s="33"/>
      <c r="J16" s="33"/>
      <c r="K16" s="33"/>
      <c r="L16" s="33"/>
      <c r="M16" s="33"/>
      <c r="N16" s="33"/>
      <c r="O16" s="33">
        <v>91473.0</v>
      </c>
    </row>
    <row r="17">
      <c r="A17" s="22"/>
      <c r="B17" s="16" t="s">
        <v>51</v>
      </c>
      <c r="C17" s="16" t="s">
        <v>29</v>
      </c>
      <c r="D17" s="33">
        <v>23469.0</v>
      </c>
      <c r="E17" s="33">
        <v>12587.0</v>
      </c>
      <c r="F17" s="33">
        <v>2118.0</v>
      </c>
      <c r="G17" s="33">
        <v>27911.0</v>
      </c>
      <c r="H17" s="33"/>
      <c r="I17" s="33"/>
      <c r="J17" s="33"/>
      <c r="K17" s="33"/>
      <c r="L17" s="33"/>
      <c r="M17" s="33"/>
      <c r="N17" s="33"/>
      <c r="O17" s="33">
        <v>66085.0</v>
      </c>
    </row>
    <row r="18">
      <c r="A18" s="22"/>
      <c r="B18" s="16" t="s">
        <v>54</v>
      </c>
      <c r="C18" s="16" t="s">
        <v>31</v>
      </c>
      <c r="D18" s="40">
        <v>18957.22</v>
      </c>
      <c r="E18" s="33">
        <v>14895.0</v>
      </c>
      <c r="F18" s="33">
        <v>14505.0</v>
      </c>
      <c r="G18" s="33">
        <v>26374.0</v>
      </c>
      <c r="H18" s="40"/>
      <c r="I18" s="40"/>
      <c r="J18" s="40"/>
      <c r="K18" s="40"/>
      <c r="L18" s="40"/>
      <c r="M18" s="40"/>
      <c r="N18" s="40"/>
      <c r="O18" s="40">
        <v>74731.22</v>
      </c>
    </row>
    <row r="19">
      <c r="A19" s="22"/>
      <c r="B19" s="16" t="s">
        <v>57</v>
      </c>
      <c r="C19" s="16" t="s">
        <v>32</v>
      </c>
      <c r="D19" s="40">
        <v>14732.43</v>
      </c>
      <c r="E19" s="33">
        <v>10351.0</v>
      </c>
      <c r="F19" s="33">
        <v>11379.0</v>
      </c>
      <c r="G19" s="33">
        <v>23832.0</v>
      </c>
      <c r="H19" s="40"/>
      <c r="I19" s="40"/>
      <c r="J19" s="40"/>
      <c r="K19" s="40"/>
      <c r="L19" s="40"/>
      <c r="M19" s="40"/>
      <c r="N19" s="40"/>
      <c r="O19" s="40">
        <v>60294.43</v>
      </c>
    </row>
    <row r="20">
      <c r="A20" s="22"/>
      <c r="B20" s="16" t="s">
        <v>61</v>
      </c>
      <c r="C20" s="16" t="s">
        <v>34</v>
      </c>
      <c r="D20" s="40">
        <v>17924.85</v>
      </c>
      <c r="E20" s="33">
        <v>13054.0</v>
      </c>
      <c r="F20" s="33">
        <v>13479.0</v>
      </c>
      <c r="G20" s="33">
        <v>27134.0</v>
      </c>
      <c r="H20" s="40"/>
      <c r="I20" s="40"/>
      <c r="J20" s="40"/>
      <c r="K20" s="40"/>
      <c r="L20" s="40"/>
      <c r="M20" s="40"/>
      <c r="N20" s="40"/>
      <c r="O20" s="40">
        <v>71591.85</v>
      </c>
    </row>
    <row r="21">
      <c r="A21" s="22"/>
      <c r="B21" s="16" t="s">
        <v>63</v>
      </c>
      <c r="C21" s="16" t="s">
        <v>35</v>
      </c>
      <c r="D21" s="40">
        <v>14532.48</v>
      </c>
      <c r="E21" s="33">
        <v>15634.0</v>
      </c>
      <c r="F21" s="46">
        <v>14116.0</v>
      </c>
      <c r="G21" s="33">
        <v>19561.0</v>
      </c>
      <c r="H21" s="33"/>
      <c r="I21" s="33"/>
      <c r="J21" s="33"/>
      <c r="K21" s="33"/>
      <c r="L21" s="33"/>
      <c r="M21" s="33"/>
      <c r="N21" s="33"/>
      <c r="O21" s="40">
        <f t="shared" ref="O21:O23" si="1">sum(D21:G21)</f>
        <v>63843.48</v>
      </c>
    </row>
    <row r="22">
      <c r="A22" s="22"/>
      <c r="B22" s="16" t="s">
        <v>73</v>
      </c>
      <c r="C22" s="16" t="s">
        <v>36</v>
      </c>
      <c r="D22" s="50">
        <v>17147.0</v>
      </c>
      <c r="E22" s="33">
        <v>14167.0</v>
      </c>
      <c r="F22" s="46">
        <v>13706.0</v>
      </c>
      <c r="G22" s="33">
        <v>27066.0</v>
      </c>
      <c r="H22" s="33"/>
      <c r="I22" s="33"/>
      <c r="J22" s="33"/>
      <c r="K22" s="33"/>
      <c r="L22" s="33"/>
      <c r="M22" s="33"/>
      <c r="N22" s="33"/>
      <c r="O22" s="33">
        <f t="shared" si="1"/>
        <v>72086</v>
      </c>
    </row>
    <row r="23">
      <c r="A23" s="22"/>
      <c r="B23" s="16" t="s">
        <v>77</v>
      </c>
      <c r="C23" s="16" t="s">
        <v>30</v>
      </c>
      <c r="D23" s="50">
        <v>9526.0</v>
      </c>
      <c r="E23" s="33">
        <v>13211.0</v>
      </c>
      <c r="F23" s="50">
        <v>7358.0</v>
      </c>
      <c r="G23" s="33">
        <v>13669.0</v>
      </c>
      <c r="H23" s="33"/>
      <c r="I23" s="33"/>
      <c r="J23" s="33"/>
      <c r="K23" s="33"/>
      <c r="L23" s="33"/>
      <c r="M23" s="33"/>
      <c r="N23" s="33"/>
      <c r="O23" s="33">
        <f t="shared" si="1"/>
        <v>43764</v>
      </c>
    </row>
    <row r="24">
      <c r="A24" s="22"/>
      <c r="B24" s="16" t="s">
        <v>79</v>
      </c>
      <c r="C24" s="16" t="s">
        <v>29</v>
      </c>
      <c r="D24" s="50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>
      <c r="A25" s="22"/>
      <c r="B25" s="16" t="s">
        <v>84</v>
      </c>
      <c r="C25" s="16" t="s">
        <v>31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>
      <c r="A26" s="22"/>
      <c r="B26" s="16" t="s">
        <v>86</v>
      </c>
      <c r="C26" s="16" t="s">
        <v>32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>
      <c r="A27" s="22"/>
      <c r="B27" s="16" t="s">
        <v>89</v>
      </c>
      <c r="C27" s="16" t="s">
        <v>34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</row>
    <row r="28">
      <c r="A28" s="22"/>
      <c r="B28" s="16" t="s">
        <v>91</v>
      </c>
      <c r="C28" s="16" t="s">
        <v>35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>
      <c r="A29" s="22"/>
      <c r="B29" s="16" t="s">
        <v>93</v>
      </c>
      <c r="C29" s="16" t="s">
        <v>36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>
      <c r="A30" s="22"/>
      <c r="B30" s="16" t="s">
        <v>94</v>
      </c>
      <c r="C30" s="16" t="s">
        <v>30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>
      <c r="A31" s="22"/>
      <c r="B31" s="16" t="s">
        <v>95</v>
      </c>
      <c r="C31" s="16" t="s">
        <v>29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>
      <c r="A32" s="22"/>
      <c r="B32" s="16" t="s">
        <v>96</v>
      </c>
      <c r="C32" s="16" t="s">
        <v>31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>
      <c r="A33" s="64"/>
      <c r="B33" s="67"/>
      <c r="C33" s="67"/>
      <c r="D33" s="68">
        <f t="shared" ref="D33:G33" si="2">sum(D8:D32)</f>
        <v>346421.98</v>
      </c>
      <c r="E33" s="68">
        <f t="shared" si="2"/>
        <v>286748</v>
      </c>
      <c r="F33" s="68">
        <f t="shared" si="2"/>
        <v>322425</v>
      </c>
      <c r="G33" s="68">
        <f t="shared" si="2"/>
        <v>493721</v>
      </c>
      <c r="H33" s="68"/>
      <c r="I33" s="68"/>
      <c r="J33" s="68"/>
      <c r="K33" s="68"/>
      <c r="L33" s="68"/>
      <c r="M33" s="68"/>
      <c r="N33" s="68"/>
      <c r="O33" s="68">
        <f>sum(O8:O32)</f>
        <v>1449315.98</v>
      </c>
    </row>
    <row r="34">
      <c r="A34" s="11" t="s">
        <v>107</v>
      </c>
      <c r="B34" s="69">
        <v>46030.0</v>
      </c>
      <c r="C34" s="70" t="s">
        <v>29</v>
      </c>
      <c r="D34" s="18"/>
      <c r="E34" s="18"/>
      <c r="F34" s="18"/>
      <c r="G34" s="46">
        <v>4557.0</v>
      </c>
      <c r="H34" s="18"/>
      <c r="I34" s="18"/>
      <c r="J34" s="18"/>
      <c r="K34" s="18"/>
      <c r="L34" s="18"/>
      <c r="M34" s="18"/>
      <c r="N34" s="18"/>
      <c r="O34" s="18">
        <f t="shared" ref="O34:O39" si="3">SUM(D34:G34)</f>
        <v>4557</v>
      </c>
    </row>
    <row r="35">
      <c r="A35" s="22"/>
      <c r="B35" s="69">
        <v>46061.0</v>
      </c>
      <c r="C35" s="70" t="s">
        <v>31</v>
      </c>
      <c r="D35" s="18"/>
      <c r="E35" s="18"/>
      <c r="F35" s="18"/>
      <c r="G35" s="46">
        <v>4569.0</v>
      </c>
      <c r="H35" s="18"/>
      <c r="I35" s="18"/>
      <c r="J35" s="18"/>
      <c r="K35" s="18"/>
      <c r="L35" s="18"/>
      <c r="M35" s="18"/>
      <c r="N35" s="18"/>
      <c r="O35" s="18">
        <f t="shared" si="3"/>
        <v>4569</v>
      </c>
    </row>
    <row r="36">
      <c r="A36" s="22"/>
      <c r="B36" s="69">
        <v>46089.0</v>
      </c>
      <c r="C36" s="70" t="s">
        <v>32</v>
      </c>
      <c r="D36" s="18"/>
      <c r="E36" s="18"/>
      <c r="F36" s="18"/>
      <c r="G36" s="46">
        <v>149.0</v>
      </c>
      <c r="H36" s="18"/>
      <c r="I36" s="18"/>
      <c r="J36" s="18"/>
      <c r="K36" s="18"/>
      <c r="L36" s="18"/>
      <c r="M36" s="18"/>
      <c r="N36" s="18"/>
      <c r="O36" s="18">
        <f t="shared" si="3"/>
        <v>149</v>
      </c>
    </row>
    <row r="37">
      <c r="A37" s="22"/>
      <c r="B37" s="69">
        <v>46120.0</v>
      </c>
      <c r="C37" s="70" t="s">
        <v>34</v>
      </c>
      <c r="D37" s="18"/>
      <c r="E37" s="18"/>
      <c r="F37" s="18"/>
      <c r="G37" s="46">
        <v>0.0</v>
      </c>
      <c r="H37" s="18"/>
      <c r="I37" s="18"/>
      <c r="J37" s="18"/>
      <c r="K37" s="18"/>
      <c r="L37" s="18"/>
      <c r="M37" s="18"/>
      <c r="N37" s="18"/>
      <c r="O37" s="18">
        <f t="shared" si="3"/>
        <v>0</v>
      </c>
    </row>
    <row r="38">
      <c r="A38" s="22"/>
      <c r="B38" s="69">
        <v>46150.0</v>
      </c>
      <c r="C38" s="70" t="s">
        <v>35</v>
      </c>
      <c r="D38" s="18"/>
      <c r="E38" s="18"/>
      <c r="F38" s="18"/>
      <c r="G38" s="46">
        <v>387.0</v>
      </c>
      <c r="H38" s="18"/>
      <c r="I38" s="18"/>
      <c r="J38" s="18"/>
      <c r="K38" s="18"/>
      <c r="L38" s="18"/>
      <c r="M38" s="18"/>
      <c r="N38" s="18"/>
      <c r="O38" s="18">
        <f t="shared" si="3"/>
        <v>387</v>
      </c>
    </row>
    <row r="39">
      <c r="A39" s="22"/>
      <c r="B39" s="69">
        <v>46181.0</v>
      </c>
      <c r="C39" s="70" t="s">
        <v>36</v>
      </c>
      <c r="D39" s="18"/>
      <c r="E39" s="18"/>
      <c r="F39" s="18"/>
      <c r="G39" s="74">
        <v>1091.0</v>
      </c>
      <c r="H39" s="18"/>
      <c r="I39" s="18"/>
      <c r="J39" s="18"/>
      <c r="K39" s="18"/>
      <c r="L39" s="18"/>
      <c r="M39" s="18"/>
      <c r="N39" s="18"/>
      <c r="O39" s="18">
        <f t="shared" si="3"/>
        <v>1091</v>
      </c>
    </row>
    <row r="40">
      <c r="A40" s="22"/>
      <c r="B40" s="69">
        <v>46211.0</v>
      </c>
      <c r="C40" s="70" t="s">
        <v>30</v>
      </c>
      <c r="D40" s="33">
        <v>2270.0</v>
      </c>
      <c r="E40" s="33">
        <v>1662.0</v>
      </c>
      <c r="F40" s="33">
        <v>0.0</v>
      </c>
      <c r="G40" s="33">
        <v>2076.0</v>
      </c>
      <c r="H40" s="74">
        <v>1474.0</v>
      </c>
      <c r="I40" s="74">
        <v>3042.0</v>
      </c>
      <c r="J40" s="18"/>
      <c r="K40" s="18"/>
      <c r="L40" s="18"/>
      <c r="M40" s="18"/>
      <c r="N40" s="18"/>
      <c r="O40" s="18">
        <f t="shared" ref="O40:O64" si="4">SUM(D40:N40)</f>
        <v>10524</v>
      </c>
    </row>
    <row r="41">
      <c r="A41" s="22"/>
      <c r="B41" s="69">
        <v>46242.0</v>
      </c>
      <c r="C41" s="70" t="s">
        <v>29</v>
      </c>
      <c r="D41" s="33">
        <v>8411.0</v>
      </c>
      <c r="E41" s="33">
        <v>6184.0</v>
      </c>
      <c r="F41" s="33">
        <v>6785.0</v>
      </c>
      <c r="G41" s="33">
        <v>6709.0</v>
      </c>
      <c r="H41" s="74">
        <v>9031.0</v>
      </c>
      <c r="I41" s="74">
        <v>2428.0</v>
      </c>
      <c r="J41" s="18"/>
      <c r="K41" s="18"/>
      <c r="L41" s="18"/>
      <c r="M41" s="18"/>
      <c r="N41" s="18"/>
      <c r="O41" s="18">
        <f t="shared" si="4"/>
        <v>39548</v>
      </c>
    </row>
    <row r="42">
      <c r="A42" s="22"/>
      <c r="B42" s="69">
        <v>46273.0</v>
      </c>
      <c r="C42" s="70" t="s">
        <v>31</v>
      </c>
      <c r="D42" s="33">
        <v>7355.0</v>
      </c>
      <c r="E42" s="33">
        <v>7273.0</v>
      </c>
      <c r="F42" s="33">
        <v>3791.0</v>
      </c>
      <c r="G42" s="33">
        <v>7063.0</v>
      </c>
      <c r="H42" s="74">
        <v>12400.0</v>
      </c>
      <c r="I42" s="74">
        <v>1807.0</v>
      </c>
      <c r="J42" s="18"/>
      <c r="K42" s="18"/>
      <c r="L42" s="18"/>
      <c r="M42" s="18"/>
      <c r="N42" s="18"/>
      <c r="O42" s="18">
        <f t="shared" si="4"/>
        <v>39689</v>
      </c>
    </row>
    <row r="43">
      <c r="A43" s="22"/>
      <c r="B43" s="69">
        <v>46303.0</v>
      </c>
      <c r="C43" s="70" t="s">
        <v>32</v>
      </c>
      <c r="D43" s="33">
        <v>8393.0</v>
      </c>
      <c r="E43" s="33">
        <v>6272.0</v>
      </c>
      <c r="F43" s="33">
        <v>4178.0</v>
      </c>
      <c r="G43" s="33">
        <v>7895.0</v>
      </c>
      <c r="H43" s="74">
        <v>15381.0</v>
      </c>
      <c r="I43" s="74">
        <v>2660.0</v>
      </c>
      <c r="J43" s="18"/>
      <c r="K43" s="18"/>
      <c r="L43" s="18"/>
      <c r="M43" s="18"/>
      <c r="N43" s="18"/>
      <c r="O43" s="18">
        <f t="shared" si="4"/>
        <v>44779</v>
      </c>
    </row>
    <row r="44">
      <c r="A44" s="22"/>
      <c r="B44" s="69">
        <v>46334.0</v>
      </c>
      <c r="C44" s="70" t="s">
        <v>34</v>
      </c>
      <c r="D44" s="33">
        <v>17453.0</v>
      </c>
      <c r="E44" s="33">
        <v>7548.0</v>
      </c>
      <c r="F44" s="33">
        <v>7052.0</v>
      </c>
      <c r="G44" s="33">
        <v>12911.0</v>
      </c>
      <c r="H44" s="74">
        <v>40477.0</v>
      </c>
      <c r="I44" s="74">
        <v>4277.0</v>
      </c>
      <c r="J44" s="18"/>
      <c r="K44" s="18"/>
      <c r="L44" s="18"/>
      <c r="M44" s="18"/>
      <c r="N44" s="18"/>
      <c r="O44" s="18">
        <f t="shared" si="4"/>
        <v>89718</v>
      </c>
    </row>
    <row r="45">
      <c r="A45" s="22"/>
      <c r="B45" s="69">
        <v>46364.0</v>
      </c>
      <c r="C45" s="70" t="s">
        <v>35</v>
      </c>
      <c r="D45" s="33">
        <v>15060.0</v>
      </c>
      <c r="E45" s="33">
        <v>17644.0</v>
      </c>
      <c r="F45" s="33">
        <v>12024.0</v>
      </c>
      <c r="G45" s="33">
        <v>20174.0</v>
      </c>
      <c r="H45" s="74">
        <v>42837.0</v>
      </c>
      <c r="I45" s="74">
        <v>1862.0</v>
      </c>
      <c r="J45" s="18"/>
      <c r="K45" s="18"/>
      <c r="L45" s="18"/>
      <c r="M45" s="18"/>
      <c r="N45" s="18"/>
      <c r="O45" s="18">
        <f t="shared" si="4"/>
        <v>109601</v>
      </c>
    </row>
    <row r="46">
      <c r="A46" s="22"/>
      <c r="B46" s="71" t="s">
        <v>115</v>
      </c>
      <c r="C46" s="70" t="s">
        <v>36</v>
      </c>
      <c r="D46" s="33">
        <v>25106.0</v>
      </c>
      <c r="E46" s="33">
        <v>13392.0</v>
      </c>
      <c r="F46" s="33">
        <v>10134.0</v>
      </c>
      <c r="G46" s="33">
        <v>13191.0</v>
      </c>
      <c r="H46" s="74">
        <v>60348.0</v>
      </c>
      <c r="I46" s="74">
        <v>6829.0</v>
      </c>
      <c r="J46" s="74"/>
      <c r="K46" s="18"/>
      <c r="L46" s="18"/>
      <c r="M46" s="18"/>
      <c r="N46" s="18"/>
      <c r="O46" s="18">
        <f t="shared" si="4"/>
        <v>129000</v>
      </c>
    </row>
    <row r="47">
      <c r="A47" s="22"/>
      <c r="B47" s="71" t="s">
        <v>116</v>
      </c>
      <c r="C47" s="70" t="s">
        <v>30</v>
      </c>
      <c r="D47" s="33">
        <v>15950.0</v>
      </c>
      <c r="E47" s="33">
        <v>5980.0</v>
      </c>
      <c r="F47" s="33">
        <v>4693.0</v>
      </c>
      <c r="G47" s="33">
        <v>8719.0</v>
      </c>
      <c r="H47" s="74">
        <v>46112.0</v>
      </c>
      <c r="I47" s="74">
        <v>4374.0</v>
      </c>
      <c r="J47" s="74"/>
      <c r="K47" s="18"/>
      <c r="L47" s="18"/>
      <c r="M47" s="18"/>
      <c r="N47" s="18"/>
      <c r="O47" s="18">
        <f t="shared" si="4"/>
        <v>85828</v>
      </c>
    </row>
    <row r="48">
      <c r="A48" s="22"/>
      <c r="B48" s="71" t="s">
        <v>118</v>
      </c>
      <c r="C48" s="70" t="s">
        <v>29</v>
      </c>
      <c r="D48" s="33">
        <v>18198.0</v>
      </c>
      <c r="E48" s="33">
        <v>11393.0</v>
      </c>
      <c r="F48" s="33">
        <v>8135.0</v>
      </c>
      <c r="G48" s="33">
        <v>9244.0</v>
      </c>
      <c r="H48" s="74">
        <v>51220.0</v>
      </c>
      <c r="I48" s="74">
        <v>5776.0</v>
      </c>
      <c r="J48" s="18"/>
      <c r="K48" s="18"/>
      <c r="L48" s="18"/>
      <c r="M48" s="18"/>
      <c r="N48" s="18"/>
      <c r="O48" s="18">
        <f t="shared" si="4"/>
        <v>103966</v>
      </c>
    </row>
    <row r="49">
      <c r="A49" s="22"/>
      <c r="B49" s="71" t="s">
        <v>120</v>
      </c>
      <c r="C49" s="70" t="s">
        <v>31</v>
      </c>
      <c r="D49" s="33">
        <v>21027.0</v>
      </c>
      <c r="E49" s="33">
        <v>15117.0</v>
      </c>
      <c r="F49" s="33">
        <v>10939.0</v>
      </c>
      <c r="G49" s="33">
        <v>13834.0</v>
      </c>
      <c r="H49" s="74">
        <v>67479.0</v>
      </c>
      <c r="I49" s="74">
        <v>10259.0</v>
      </c>
      <c r="J49" s="18"/>
      <c r="K49" s="18"/>
      <c r="L49" s="18"/>
      <c r="M49" s="18"/>
      <c r="N49" s="18"/>
      <c r="O49" s="18">
        <f t="shared" si="4"/>
        <v>138655</v>
      </c>
    </row>
    <row r="50">
      <c r="A50" s="22"/>
      <c r="B50" s="71" t="s">
        <v>122</v>
      </c>
      <c r="C50" s="70" t="s">
        <v>32</v>
      </c>
      <c r="D50" s="40">
        <v>21116.0</v>
      </c>
      <c r="E50" s="33">
        <v>9343.0</v>
      </c>
      <c r="F50" s="33">
        <v>10343.0</v>
      </c>
      <c r="G50" s="33">
        <v>21063.0</v>
      </c>
      <c r="H50" s="74">
        <v>56712.0</v>
      </c>
      <c r="I50" s="74">
        <v>9005.0</v>
      </c>
      <c r="J50" s="18"/>
      <c r="K50" s="18"/>
      <c r="L50" s="18"/>
      <c r="M50" s="74">
        <v>125.0</v>
      </c>
      <c r="N50" s="18"/>
      <c r="O50" s="77">
        <f t="shared" si="4"/>
        <v>127707</v>
      </c>
    </row>
    <row r="51">
      <c r="A51" s="22"/>
      <c r="B51" s="71" t="s">
        <v>123</v>
      </c>
      <c r="C51" s="70" t="s">
        <v>34</v>
      </c>
      <c r="D51" s="40">
        <v>23199.0</v>
      </c>
      <c r="E51" s="33">
        <v>13387.0</v>
      </c>
      <c r="F51" s="33">
        <v>13842.0</v>
      </c>
      <c r="G51" s="33">
        <v>17224.0</v>
      </c>
      <c r="H51" s="74">
        <v>61307.0</v>
      </c>
      <c r="I51" s="74">
        <v>8103.0</v>
      </c>
      <c r="J51" s="18"/>
      <c r="K51" s="18"/>
      <c r="L51" s="18"/>
      <c r="M51" s="74">
        <v>6428.0</v>
      </c>
      <c r="N51" s="18"/>
      <c r="O51" s="77">
        <f t="shared" si="4"/>
        <v>143490</v>
      </c>
    </row>
    <row r="52">
      <c r="A52" s="22"/>
      <c r="B52" s="71" t="s">
        <v>124</v>
      </c>
      <c r="C52" s="70" t="s">
        <v>35</v>
      </c>
      <c r="D52" s="40">
        <v>18919.0</v>
      </c>
      <c r="E52" s="33">
        <v>9331.0</v>
      </c>
      <c r="F52" s="33">
        <v>12332.0</v>
      </c>
      <c r="G52" s="33">
        <v>16206.0</v>
      </c>
      <c r="H52" s="74">
        <v>53351.0</v>
      </c>
      <c r="I52" s="74">
        <v>9060.0</v>
      </c>
      <c r="J52" s="18"/>
      <c r="K52" s="18"/>
      <c r="L52" s="18"/>
      <c r="M52" s="74">
        <v>3872.0</v>
      </c>
      <c r="N52" s="18"/>
      <c r="O52" s="77">
        <f t="shared" si="4"/>
        <v>123071</v>
      </c>
    </row>
    <row r="53">
      <c r="A53" s="22"/>
      <c r="B53" s="71" t="s">
        <v>125</v>
      </c>
      <c r="C53" s="70" t="s">
        <v>36</v>
      </c>
      <c r="D53" s="40">
        <v>19974.0</v>
      </c>
      <c r="E53" s="33">
        <v>19199.0</v>
      </c>
      <c r="F53" s="46">
        <v>12840.0</v>
      </c>
      <c r="G53" s="33">
        <v>19869.0</v>
      </c>
      <c r="H53" s="74">
        <v>68036.0</v>
      </c>
      <c r="I53" s="74">
        <v>10801.0</v>
      </c>
      <c r="J53" s="18"/>
      <c r="K53" s="18"/>
      <c r="L53" s="18"/>
      <c r="M53" s="74">
        <v>4758.0</v>
      </c>
      <c r="N53" s="18"/>
      <c r="O53" s="77">
        <f t="shared" si="4"/>
        <v>155477</v>
      </c>
    </row>
    <row r="54">
      <c r="A54" s="22"/>
      <c r="B54" s="71" t="s">
        <v>127</v>
      </c>
      <c r="C54" s="70" t="s">
        <v>30</v>
      </c>
      <c r="D54" s="50">
        <v>19466.0</v>
      </c>
      <c r="E54" s="33">
        <v>15671.0</v>
      </c>
      <c r="F54" s="46">
        <v>10563.0</v>
      </c>
      <c r="G54" s="33">
        <v>15987.0</v>
      </c>
      <c r="H54" s="74">
        <v>61245.0</v>
      </c>
      <c r="I54" s="74">
        <v>4238.0</v>
      </c>
      <c r="J54" s="74">
        <v>8570.0</v>
      </c>
      <c r="K54" s="18"/>
      <c r="L54" s="18"/>
      <c r="M54" s="74">
        <v>4390.0</v>
      </c>
      <c r="N54" s="18"/>
      <c r="O54" s="18">
        <f t="shared" si="4"/>
        <v>140130</v>
      </c>
    </row>
    <row r="55">
      <c r="A55" s="22"/>
      <c r="B55" s="71" t="s">
        <v>147</v>
      </c>
      <c r="C55" s="70" t="s">
        <v>29</v>
      </c>
      <c r="D55" s="50">
        <v>21199.0</v>
      </c>
      <c r="E55" s="33">
        <v>8507.0</v>
      </c>
      <c r="F55" s="50">
        <v>6147.0</v>
      </c>
      <c r="G55" s="33">
        <v>8463.0</v>
      </c>
      <c r="H55" s="74">
        <v>28164.0</v>
      </c>
      <c r="I55" s="74">
        <v>1631.0</v>
      </c>
      <c r="J55" s="74">
        <v>7567.0</v>
      </c>
      <c r="K55" s="18"/>
      <c r="L55" s="18"/>
      <c r="M55" s="74">
        <v>2951.0</v>
      </c>
      <c r="N55" s="18"/>
      <c r="O55" s="18">
        <f t="shared" si="4"/>
        <v>84629</v>
      </c>
    </row>
    <row r="56">
      <c r="A56" s="22"/>
      <c r="B56" s="71" t="s">
        <v>148</v>
      </c>
      <c r="C56" s="70" t="s">
        <v>31</v>
      </c>
      <c r="D56" s="50">
        <v>23540.0</v>
      </c>
      <c r="E56" s="50">
        <v>9432.0</v>
      </c>
      <c r="F56" s="50">
        <v>5402.0</v>
      </c>
      <c r="G56" s="50">
        <v>9202.0</v>
      </c>
      <c r="H56" s="74">
        <v>44961.0</v>
      </c>
      <c r="I56" s="74">
        <v>2891.0</v>
      </c>
      <c r="J56" s="74">
        <v>9344.0</v>
      </c>
      <c r="K56" s="74">
        <v>2168.0</v>
      </c>
      <c r="L56" s="18"/>
      <c r="M56" s="74">
        <v>4384.0</v>
      </c>
      <c r="N56" s="18"/>
      <c r="O56" s="18">
        <f t="shared" si="4"/>
        <v>111324</v>
      </c>
    </row>
    <row r="57">
      <c r="A57" s="22"/>
      <c r="B57" s="71" t="s">
        <v>150</v>
      </c>
      <c r="C57" s="70" t="s">
        <v>32</v>
      </c>
      <c r="D57" s="50">
        <v>21636.0</v>
      </c>
      <c r="E57" s="50">
        <v>15079.0</v>
      </c>
      <c r="F57" s="50">
        <v>14541.0</v>
      </c>
      <c r="G57" s="50">
        <v>12446.0</v>
      </c>
      <c r="H57" s="74">
        <v>53533.0</v>
      </c>
      <c r="I57" s="74">
        <v>3253.0</v>
      </c>
      <c r="J57" s="74">
        <v>8550.0</v>
      </c>
      <c r="K57" s="18"/>
      <c r="L57" s="18"/>
      <c r="M57" s="74">
        <v>5683.0</v>
      </c>
      <c r="N57" s="18"/>
      <c r="O57" s="18">
        <f t="shared" si="4"/>
        <v>134721</v>
      </c>
    </row>
    <row r="58">
      <c r="A58" s="22"/>
      <c r="B58" s="71" t="s">
        <v>151</v>
      </c>
      <c r="C58" s="70" t="s">
        <v>34</v>
      </c>
      <c r="D58" s="50">
        <v>26527.0</v>
      </c>
      <c r="E58" s="50">
        <v>15371.0</v>
      </c>
      <c r="F58" s="50">
        <v>8841.0</v>
      </c>
      <c r="G58" s="50">
        <v>8120.0</v>
      </c>
      <c r="H58" s="74">
        <v>65560.0</v>
      </c>
      <c r="I58" s="74">
        <v>2524.0</v>
      </c>
      <c r="J58" s="74">
        <v>8168.0</v>
      </c>
      <c r="K58" s="18"/>
      <c r="L58" s="18"/>
      <c r="M58" s="74">
        <v>7091.0</v>
      </c>
      <c r="N58" s="18"/>
      <c r="O58" s="18">
        <f t="shared" si="4"/>
        <v>142202</v>
      </c>
    </row>
    <row r="59">
      <c r="A59" s="22"/>
      <c r="B59" s="71" t="s">
        <v>152</v>
      </c>
      <c r="C59" s="70" t="s">
        <v>35</v>
      </c>
      <c r="D59" s="50">
        <v>14581.0</v>
      </c>
      <c r="E59" s="50">
        <v>7457.0</v>
      </c>
      <c r="F59" s="50">
        <v>3720.0</v>
      </c>
      <c r="G59" s="50">
        <v>9189.0</v>
      </c>
      <c r="H59" s="74">
        <v>30012.0</v>
      </c>
      <c r="I59" s="74">
        <v>1967.0</v>
      </c>
      <c r="J59" s="74">
        <v>4721.0</v>
      </c>
      <c r="K59" s="18"/>
      <c r="L59" s="18"/>
      <c r="M59" s="74">
        <v>3408.0</v>
      </c>
      <c r="N59" s="18"/>
      <c r="O59" s="18">
        <f t="shared" si="4"/>
        <v>75055</v>
      </c>
    </row>
    <row r="60">
      <c r="A60" s="22"/>
      <c r="B60" s="71" t="s">
        <v>153</v>
      </c>
      <c r="C60" s="70" t="s">
        <v>36</v>
      </c>
      <c r="D60" s="50">
        <v>14278.0</v>
      </c>
      <c r="E60" s="50">
        <v>5830.0</v>
      </c>
      <c r="F60" s="50">
        <v>6803.0</v>
      </c>
      <c r="G60" s="50">
        <v>2617.0</v>
      </c>
      <c r="H60" s="74">
        <v>29059.0</v>
      </c>
      <c r="I60" s="74">
        <v>1880.0</v>
      </c>
      <c r="J60" s="74">
        <v>6193.0</v>
      </c>
      <c r="K60" s="18"/>
      <c r="L60" s="18"/>
      <c r="M60" s="74">
        <v>2944.0</v>
      </c>
      <c r="N60" s="18"/>
      <c r="O60" s="18">
        <f t="shared" si="4"/>
        <v>69604</v>
      </c>
    </row>
    <row r="61">
      <c r="A61" s="22"/>
      <c r="B61" s="71" t="s">
        <v>154</v>
      </c>
      <c r="C61" s="70" t="s">
        <v>30</v>
      </c>
      <c r="D61" s="50">
        <v>6844.0</v>
      </c>
      <c r="E61" s="50">
        <v>596.0</v>
      </c>
      <c r="F61" s="50">
        <v>0.0</v>
      </c>
      <c r="G61" s="50">
        <v>0.0</v>
      </c>
      <c r="H61" s="74">
        <v>4305.0</v>
      </c>
      <c r="I61" s="74">
        <v>5038.0</v>
      </c>
      <c r="J61" s="74">
        <v>5456.0</v>
      </c>
      <c r="K61" s="18"/>
      <c r="L61" s="18"/>
      <c r="M61" s="74">
        <v>0.0</v>
      </c>
      <c r="N61" s="18"/>
      <c r="O61" s="18">
        <f t="shared" si="4"/>
        <v>22239</v>
      </c>
    </row>
    <row r="62">
      <c r="A62" s="22"/>
      <c r="B62" s="16" t="s">
        <v>156</v>
      </c>
      <c r="C62" s="16" t="s">
        <v>29</v>
      </c>
      <c r="D62" s="50">
        <v>6551.0</v>
      </c>
      <c r="E62" s="50">
        <v>5129.0</v>
      </c>
      <c r="F62" s="50">
        <v>2765.0</v>
      </c>
      <c r="G62" s="50">
        <v>4849.0</v>
      </c>
      <c r="H62" s="74">
        <v>0.0</v>
      </c>
      <c r="I62" s="74">
        <v>3235.0</v>
      </c>
      <c r="J62" s="74">
        <v>2567.0</v>
      </c>
      <c r="K62" s="18"/>
      <c r="L62" s="18"/>
      <c r="M62" s="74">
        <v>1000.0</v>
      </c>
      <c r="N62" s="18"/>
      <c r="O62" s="18">
        <f t="shared" si="4"/>
        <v>26096</v>
      </c>
    </row>
    <row r="63">
      <c r="A63" s="22"/>
      <c r="B63" s="16" t="s">
        <v>158</v>
      </c>
      <c r="C63" s="16" t="s">
        <v>31</v>
      </c>
      <c r="D63" s="50">
        <v>1609.0</v>
      </c>
      <c r="E63" s="50">
        <v>7408.0</v>
      </c>
      <c r="F63" s="50">
        <v>8594.0</v>
      </c>
      <c r="G63" s="50">
        <v>5743.0</v>
      </c>
      <c r="H63" s="18"/>
      <c r="I63" s="74">
        <v>6792.0</v>
      </c>
      <c r="J63" s="74">
        <v>7561.0</v>
      </c>
      <c r="K63" s="18"/>
      <c r="L63" s="18"/>
      <c r="M63" s="74">
        <v>5258.0</v>
      </c>
      <c r="N63" s="18"/>
      <c r="O63" s="18">
        <f t="shared" si="4"/>
        <v>42965</v>
      </c>
    </row>
    <row r="64">
      <c r="A64" s="22"/>
      <c r="B64" s="16" t="s">
        <v>161</v>
      </c>
      <c r="C64" s="16" t="s">
        <v>32</v>
      </c>
      <c r="D64" s="50">
        <v>2356.0</v>
      </c>
      <c r="E64" s="62">
        <v>15751.0</v>
      </c>
      <c r="F64" s="50">
        <v>11624.0</v>
      </c>
      <c r="G64" s="50">
        <v>13637.0</v>
      </c>
      <c r="H64" s="62">
        <v>0.0</v>
      </c>
      <c r="I64" s="74">
        <v>10914.0</v>
      </c>
      <c r="J64" s="74">
        <v>11984.0</v>
      </c>
      <c r="K64" s="18"/>
      <c r="L64" s="18"/>
      <c r="M64" s="74">
        <v>9547.0</v>
      </c>
      <c r="N64" s="18"/>
      <c r="O64" s="18">
        <f t="shared" si="4"/>
        <v>75813</v>
      </c>
    </row>
    <row r="65">
      <c r="A65" s="64"/>
      <c r="B65" s="67"/>
      <c r="C65" s="67"/>
      <c r="D65" s="68">
        <f t="shared" ref="D65:F65" si="5">sum(D40:D64)</f>
        <v>381018</v>
      </c>
      <c r="E65" s="68">
        <f t="shared" si="5"/>
        <v>249956</v>
      </c>
      <c r="F65" s="68">
        <f t="shared" si="5"/>
        <v>196088</v>
      </c>
      <c r="G65" s="68">
        <f>sum(G34:G64)</f>
        <v>277184</v>
      </c>
      <c r="H65" s="68">
        <f t="shared" ref="H65:K65" si="6">sum(H40:H64)</f>
        <v>903004</v>
      </c>
      <c r="I65" s="68">
        <f t="shared" si="6"/>
        <v>124646</v>
      </c>
      <c r="J65" s="68">
        <f t="shared" si="6"/>
        <v>80681</v>
      </c>
      <c r="K65" s="68">
        <f t="shared" si="6"/>
        <v>2168</v>
      </c>
      <c r="L65" s="68">
        <v>0.0</v>
      </c>
      <c r="M65" s="68">
        <f>sum(M40:M64)</f>
        <v>61839</v>
      </c>
      <c r="N65" s="68">
        <v>0.0</v>
      </c>
      <c r="O65" s="68">
        <f>sum(O34:O64)</f>
        <v>2276584</v>
      </c>
    </row>
    <row r="66">
      <c r="A66" s="11" t="s">
        <v>174</v>
      </c>
      <c r="B66" s="69">
        <v>46031.0</v>
      </c>
      <c r="C66" s="70" t="s">
        <v>34</v>
      </c>
      <c r="D66" s="74">
        <v>0.0</v>
      </c>
      <c r="E66" s="74">
        <v>12215.0</v>
      </c>
      <c r="F66" s="74">
        <v>13248.0</v>
      </c>
      <c r="G66" s="46">
        <v>16202.0</v>
      </c>
      <c r="H66" s="74">
        <v>0.0</v>
      </c>
      <c r="I66" s="74">
        <v>7911.0</v>
      </c>
      <c r="J66" s="74">
        <v>8481.0</v>
      </c>
      <c r="K66" s="74">
        <v>0.0</v>
      </c>
      <c r="L66" s="18"/>
      <c r="M66" s="74">
        <v>7498.0</v>
      </c>
      <c r="N66" s="18"/>
      <c r="O66" s="18">
        <f t="shared" ref="O66:O71" si="7">SUM(D66:G66)</f>
        <v>41665</v>
      </c>
    </row>
    <row r="67">
      <c r="A67" s="22"/>
      <c r="B67" s="69">
        <v>46062.0</v>
      </c>
      <c r="C67" s="70" t="s">
        <v>35</v>
      </c>
      <c r="D67" s="74">
        <v>0.0</v>
      </c>
      <c r="E67" s="62">
        <v>25793.0</v>
      </c>
      <c r="F67" s="74">
        <v>19941.0</v>
      </c>
      <c r="G67" s="46">
        <v>18658.0</v>
      </c>
      <c r="H67" s="74">
        <v>0.0</v>
      </c>
      <c r="I67" s="74">
        <v>14570.0</v>
      </c>
      <c r="J67" s="74">
        <v>12876.0</v>
      </c>
      <c r="K67" s="74">
        <v>0.0</v>
      </c>
      <c r="L67" s="18"/>
      <c r="M67" s="74">
        <v>10412.0</v>
      </c>
      <c r="N67" s="18"/>
      <c r="O67" s="18">
        <f t="shared" si="7"/>
        <v>64392</v>
      </c>
    </row>
    <row r="68">
      <c r="A68" s="22"/>
      <c r="B68" s="69">
        <v>46090.0</v>
      </c>
      <c r="C68" s="70" t="s">
        <v>36</v>
      </c>
      <c r="D68" s="74">
        <v>11047.0</v>
      </c>
      <c r="E68" s="74">
        <v>18126.0</v>
      </c>
      <c r="F68" s="74">
        <v>11117.0</v>
      </c>
      <c r="G68" s="46">
        <v>13463.0</v>
      </c>
      <c r="H68" s="74">
        <v>0.0</v>
      </c>
      <c r="I68" s="74">
        <v>12732.0</v>
      </c>
      <c r="J68" s="74">
        <v>10857.0</v>
      </c>
      <c r="K68" s="74">
        <v>0.0</v>
      </c>
      <c r="L68" s="18"/>
      <c r="M68" s="74">
        <v>6703.0</v>
      </c>
      <c r="N68" s="18"/>
      <c r="O68" s="18">
        <f t="shared" si="7"/>
        <v>53753</v>
      </c>
    </row>
    <row r="69">
      <c r="A69" s="22"/>
      <c r="B69" s="69">
        <v>46121.0</v>
      </c>
      <c r="C69" s="70" t="s">
        <v>30</v>
      </c>
      <c r="D69" s="74">
        <v>18712.0</v>
      </c>
      <c r="E69" s="74">
        <v>10216.0</v>
      </c>
      <c r="F69" s="74">
        <v>6594.0</v>
      </c>
      <c r="G69" s="46">
        <v>9226.0</v>
      </c>
      <c r="H69" s="74">
        <v>12684.0</v>
      </c>
      <c r="I69" s="74">
        <v>1467.0</v>
      </c>
      <c r="J69" s="74">
        <v>5194.0</v>
      </c>
      <c r="K69" s="74">
        <v>0.0</v>
      </c>
      <c r="L69" s="18"/>
      <c r="M69" s="74">
        <v>4782.0</v>
      </c>
      <c r="N69" s="18"/>
      <c r="O69" s="18">
        <f t="shared" si="7"/>
        <v>44748</v>
      </c>
    </row>
    <row r="70">
      <c r="A70" s="22"/>
      <c r="B70" s="69">
        <v>46151.0</v>
      </c>
      <c r="C70" s="70" t="s">
        <v>29</v>
      </c>
      <c r="D70" s="74">
        <v>19172.0</v>
      </c>
      <c r="E70" s="74">
        <v>7708.0</v>
      </c>
      <c r="F70" s="74">
        <v>6363.0</v>
      </c>
      <c r="G70" s="46">
        <v>10538.0</v>
      </c>
      <c r="H70" s="74">
        <v>40504.0</v>
      </c>
      <c r="I70" s="74">
        <v>5032.0</v>
      </c>
      <c r="J70" s="74">
        <v>6014.0</v>
      </c>
      <c r="K70" s="74">
        <v>0.0</v>
      </c>
      <c r="L70" s="18"/>
      <c r="M70" s="74">
        <v>5929.0</v>
      </c>
      <c r="N70" s="18"/>
      <c r="O70" s="18">
        <f t="shared" si="7"/>
        <v>43781</v>
      </c>
    </row>
    <row r="71">
      <c r="A71" s="22"/>
      <c r="B71" s="69">
        <v>46182.0</v>
      </c>
      <c r="C71" s="70" t="s">
        <v>31</v>
      </c>
      <c r="D71" s="74">
        <v>24458.0</v>
      </c>
      <c r="E71" s="74">
        <v>14219.0</v>
      </c>
      <c r="F71" s="74">
        <v>10851.0</v>
      </c>
      <c r="G71" s="74">
        <v>15529.0</v>
      </c>
      <c r="H71" s="74">
        <v>58521.0</v>
      </c>
      <c r="I71" s="74">
        <v>8970.0</v>
      </c>
      <c r="J71" s="74">
        <v>6604.0</v>
      </c>
      <c r="K71" s="74">
        <v>0.0</v>
      </c>
      <c r="L71" s="18"/>
      <c r="M71" s="74">
        <v>4334.0</v>
      </c>
      <c r="N71" s="18"/>
      <c r="O71" s="18">
        <f t="shared" si="7"/>
        <v>65057</v>
      </c>
    </row>
    <row r="72">
      <c r="A72" s="22"/>
      <c r="B72" s="69">
        <v>46212.0</v>
      </c>
      <c r="C72" s="70" t="s">
        <v>32</v>
      </c>
      <c r="D72" s="33">
        <v>26275.0</v>
      </c>
      <c r="E72" s="33">
        <v>16920.0</v>
      </c>
      <c r="F72" s="33">
        <v>11816.0</v>
      </c>
      <c r="G72" s="33">
        <v>16638.0</v>
      </c>
      <c r="H72" s="74">
        <v>52699.0</v>
      </c>
      <c r="I72" s="74">
        <v>4987.0</v>
      </c>
      <c r="J72" s="74">
        <v>12066.0</v>
      </c>
      <c r="K72" s="74">
        <v>0.0</v>
      </c>
      <c r="L72" s="18"/>
      <c r="M72" s="74">
        <v>5929.0</v>
      </c>
      <c r="N72" s="18"/>
      <c r="O72" s="18">
        <f t="shared" ref="O72:O96" si="8">SUM(D72:N72)</f>
        <v>147330</v>
      </c>
    </row>
    <row r="73">
      <c r="A73" s="22"/>
      <c r="B73" s="69">
        <v>46243.0</v>
      </c>
      <c r="C73" s="70" t="s">
        <v>34</v>
      </c>
      <c r="D73" s="33">
        <v>30779.0</v>
      </c>
      <c r="E73" s="33">
        <v>11779.0</v>
      </c>
      <c r="F73" s="33">
        <v>10444.0</v>
      </c>
      <c r="G73" s="33">
        <v>17610.0</v>
      </c>
      <c r="H73" s="74">
        <v>67188.0</v>
      </c>
      <c r="I73" s="74">
        <v>8437.0</v>
      </c>
      <c r="J73" s="74">
        <v>13937.0</v>
      </c>
      <c r="K73" s="74">
        <v>0.0</v>
      </c>
      <c r="L73" s="18"/>
      <c r="M73" s="74">
        <v>7648.0</v>
      </c>
      <c r="N73" s="18"/>
      <c r="O73" s="18">
        <f t="shared" si="8"/>
        <v>167822</v>
      </c>
    </row>
    <row r="74">
      <c r="A74" s="22"/>
      <c r="B74" s="69">
        <v>47370.0</v>
      </c>
      <c r="C74" s="70" t="s">
        <v>35</v>
      </c>
      <c r="D74" s="33">
        <v>24580.0</v>
      </c>
      <c r="E74" s="33">
        <v>13760.0</v>
      </c>
      <c r="F74" s="33">
        <v>11487.0</v>
      </c>
      <c r="G74" s="33">
        <v>15170.0</v>
      </c>
      <c r="H74" s="74">
        <v>57129.0</v>
      </c>
      <c r="I74" s="74">
        <v>9468.0</v>
      </c>
      <c r="J74" s="74">
        <v>11864.0</v>
      </c>
      <c r="K74" s="74">
        <v>0.0</v>
      </c>
      <c r="L74" s="18"/>
      <c r="M74" s="74">
        <v>6185.0</v>
      </c>
      <c r="N74" s="18"/>
      <c r="O74" s="18">
        <f t="shared" si="8"/>
        <v>149643</v>
      </c>
    </row>
    <row r="75">
      <c r="A75" s="22"/>
      <c r="B75" s="69">
        <v>46304.0</v>
      </c>
      <c r="C75" s="70" t="s">
        <v>36</v>
      </c>
      <c r="D75" s="33">
        <v>24510.0</v>
      </c>
      <c r="E75" s="33">
        <v>15090.0</v>
      </c>
      <c r="F75" s="33">
        <v>11483.0</v>
      </c>
      <c r="G75" s="33">
        <v>19422.0</v>
      </c>
      <c r="H75" s="74">
        <v>70572.0</v>
      </c>
      <c r="I75" s="74">
        <v>7999.0</v>
      </c>
      <c r="J75" s="74">
        <v>9795.0</v>
      </c>
      <c r="K75" s="74">
        <v>0.0</v>
      </c>
      <c r="L75" s="18"/>
      <c r="M75" s="74">
        <v>5464.0</v>
      </c>
      <c r="N75" s="18"/>
      <c r="O75" s="18">
        <f t="shared" si="8"/>
        <v>164335</v>
      </c>
    </row>
    <row r="76">
      <c r="A76" s="22"/>
      <c r="B76" s="69">
        <v>46335.0</v>
      </c>
      <c r="C76" s="70" t="s">
        <v>30</v>
      </c>
      <c r="D76" s="33">
        <v>33564.0</v>
      </c>
      <c r="E76" s="33">
        <v>14483.0</v>
      </c>
      <c r="F76" s="33">
        <v>7936.0</v>
      </c>
      <c r="G76" s="33">
        <v>14448.0</v>
      </c>
      <c r="H76" s="74">
        <v>72821.0</v>
      </c>
      <c r="I76" s="74">
        <v>6611.0</v>
      </c>
      <c r="J76" s="74">
        <v>10433.0</v>
      </c>
      <c r="K76" s="74">
        <v>0.0</v>
      </c>
      <c r="L76" s="18"/>
      <c r="M76" s="74">
        <v>7310.0</v>
      </c>
      <c r="N76" s="18"/>
      <c r="O76" s="18">
        <f t="shared" si="8"/>
        <v>167606</v>
      </c>
    </row>
    <row r="77">
      <c r="A77" s="22"/>
      <c r="B77" s="69">
        <v>46365.0</v>
      </c>
      <c r="C77" s="70" t="s">
        <v>29</v>
      </c>
      <c r="D77" s="33">
        <v>25902.0</v>
      </c>
      <c r="E77" s="33">
        <v>14391.0</v>
      </c>
      <c r="F77" s="33">
        <v>5909.0</v>
      </c>
      <c r="G77" s="33">
        <v>13580.0</v>
      </c>
      <c r="H77" s="74">
        <v>68502.0</v>
      </c>
      <c r="I77" s="74">
        <v>4173.0</v>
      </c>
      <c r="J77" s="74">
        <v>9278.0</v>
      </c>
      <c r="K77" s="74">
        <v>0.0</v>
      </c>
      <c r="L77" s="18"/>
      <c r="M77" s="74">
        <v>4368.0</v>
      </c>
      <c r="N77" s="18"/>
      <c r="O77" s="18">
        <f t="shared" si="8"/>
        <v>146103</v>
      </c>
    </row>
    <row r="78">
      <c r="A78" s="22"/>
      <c r="B78" s="71" t="s">
        <v>176</v>
      </c>
      <c r="C78" s="70" t="s">
        <v>31</v>
      </c>
      <c r="D78" s="33">
        <v>23496.0</v>
      </c>
      <c r="E78" s="33">
        <v>13083.0</v>
      </c>
      <c r="F78" s="33">
        <v>4038.0</v>
      </c>
      <c r="G78" s="33">
        <v>9366.0</v>
      </c>
      <c r="H78" s="74">
        <v>63205.0</v>
      </c>
      <c r="I78" s="74">
        <v>5341.0</v>
      </c>
      <c r="J78" s="74">
        <v>5796.0</v>
      </c>
      <c r="K78" s="74">
        <v>4234.0</v>
      </c>
      <c r="L78" s="18"/>
      <c r="M78" s="74">
        <v>3979.0</v>
      </c>
      <c r="N78" s="18"/>
      <c r="O78" s="18">
        <f t="shared" si="8"/>
        <v>132538</v>
      </c>
    </row>
    <row r="79">
      <c r="A79" s="22"/>
      <c r="B79" s="71" t="s">
        <v>178</v>
      </c>
      <c r="C79" s="70" t="s">
        <v>32</v>
      </c>
      <c r="D79" s="33">
        <v>22478.0</v>
      </c>
      <c r="E79" s="33">
        <v>11127.0</v>
      </c>
      <c r="F79" s="33">
        <v>9908.0</v>
      </c>
      <c r="G79" s="33">
        <v>15200.0</v>
      </c>
      <c r="H79" s="74">
        <v>52561.0</v>
      </c>
      <c r="I79" s="74">
        <v>6207.0</v>
      </c>
      <c r="J79" s="74">
        <v>8534.0</v>
      </c>
      <c r="K79" s="74">
        <v>3967.0</v>
      </c>
      <c r="L79" s="18"/>
      <c r="M79" s="74">
        <v>4530.0</v>
      </c>
      <c r="N79" s="18"/>
      <c r="O79" s="18">
        <f t="shared" si="8"/>
        <v>134512</v>
      </c>
    </row>
    <row r="80">
      <c r="A80" s="22"/>
      <c r="B80" s="71" t="s">
        <v>180</v>
      </c>
      <c r="C80" s="70" t="s">
        <v>34</v>
      </c>
      <c r="D80" s="33">
        <v>22334.0</v>
      </c>
      <c r="E80" s="33">
        <v>14883.0</v>
      </c>
      <c r="F80" s="33">
        <v>6999.0</v>
      </c>
      <c r="G80" s="33">
        <v>11296.0</v>
      </c>
      <c r="H80" s="74">
        <v>64421.0</v>
      </c>
      <c r="I80" s="74">
        <v>3696.0</v>
      </c>
      <c r="J80" s="74">
        <v>9485.0</v>
      </c>
      <c r="K80" s="74">
        <v>5068.0</v>
      </c>
      <c r="L80" s="18"/>
      <c r="M80" s="74">
        <v>5380.0</v>
      </c>
      <c r="N80" s="18"/>
      <c r="O80" s="18">
        <f t="shared" si="8"/>
        <v>143562</v>
      </c>
    </row>
    <row r="81">
      <c r="A81" s="22"/>
      <c r="B81" s="71" t="s">
        <v>182</v>
      </c>
      <c r="C81" s="70" t="s">
        <v>35</v>
      </c>
      <c r="D81" s="33">
        <v>26929.0</v>
      </c>
      <c r="E81" s="33">
        <v>11544.0</v>
      </c>
      <c r="F81" s="33">
        <v>8847.0</v>
      </c>
      <c r="G81" s="33">
        <v>11416.0</v>
      </c>
      <c r="H81" s="74">
        <v>67288.0</v>
      </c>
      <c r="I81" s="74">
        <v>6230.0</v>
      </c>
      <c r="J81" s="74">
        <v>7086.0</v>
      </c>
      <c r="K81" s="74">
        <v>5494.0</v>
      </c>
      <c r="L81" s="18"/>
      <c r="M81" s="74">
        <v>6694.0</v>
      </c>
      <c r="N81" s="18"/>
      <c r="O81" s="18">
        <f t="shared" si="8"/>
        <v>151528</v>
      </c>
    </row>
    <row r="82">
      <c r="A82" s="22"/>
      <c r="B82" s="71" t="s">
        <v>184</v>
      </c>
      <c r="C82" s="70" t="s">
        <v>36</v>
      </c>
      <c r="D82" s="40">
        <v>29291.0</v>
      </c>
      <c r="E82" s="33">
        <v>19082.0</v>
      </c>
      <c r="F82" s="33">
        <v>8520.0</v>
      </c>
      <c r="G82" s="33">
        <v>15363.0</v>
      </c>
      <c r="H82" s="74">
        <v>81775.0</v>
      </c>
      <c r="I82" s="74">
        <v>5770.0</v>
      </c>
      <c r="J82" s="74">
        <v>7254.0</v>
      </c>
      <c r="K82" s="74">
        <v>8613.0</v>
      </c>
      <c r="L82" s="18"/>
      <c r="M82" s="74">
        <v>6115.0</v>
      </c>
      <c r="N82" s="18"/>
      <c r="O82" s="77">
        <f t="shared" si="8"/>
        <v>181783</v>
      </c>
    </row>
    <row r="83">
      <c r="A83" s="22"/>
      <c r="B83" s="71" t="s">
        <v>186</v>
      </c>
      <c r="C83" s="70" t="s">
        <v>30</v>
      </c>
      <c r="D83" s="40">
        <v>21968.0</v>
      </c>
      <c r="E83" s="33">
        <v>9989.0</v>
      </c>
      <c r="F83" s="33">
        <v>10581.0</v>
      </c>
      <c r="G83" s="33">
        <v>14531.0</v>
      </c>
      <c r="H83" s="74">
        <v>62568.0</v>
      </c>
      <c r="I83" s="74">
        <v>4491.0</v>
      </c>
      <c r="J83" s="74">
        <v>7862.0</v>
      </c>
      <c r="K83" s="74">
        <v>2376.0</v>
      </c>
      <c r="L83" s="18"/>
      <c r="M83" s="74">
        <v>5499.0</v>
      </c>
      <c r="N83" s="18"/>
      <c r="O83" s="77">
        <f t="shared" si="8"/>
        <v>139865</v>
      </c>
    </row>
    <row r="84">
      <c r="A84" s="22"/>
      <c r="B84" s="71" t="s">
        <v>188</v>
      </c>
      <c r="C84" s="70" t="s">
        <v>29</v>
      </c>
      <c r="D84" s="40">
        <v>22631.0</v>
      </c>
      <c r="E84" s="33">
        <v>7487.0</v>
      </c>
      <c r="F84" s="33">
        <v>8625.0</v>
      </c>
      <c r="G84" s="33">
        <v>8898.0</v>
      </c>
      <c r="H84" s="74">
        <v>52473.0</v>
      </c>
      <c r="I84" s="74">
        <v>3178.0</v>
      </c>
      <c r="J84" s="74">
        <v>5710.0</v>
      </c>
      <c r="K84" s="74">
        <v>3257.0</v>
      </c>
      <c r="L84" s="18"/>
      <c r="M84" s="74">
        <v>3054.0</v>
      </c>
      <c r="N84" s="18"/>
      <c r="O84" s="77">
        <f t="shared" si="8"/>
        <v>115313</v>
      </c>
    </row>
    <row r="85">
      <c r="A85" s="22"/>
      <c r="B85" s="71" t="s">
        <v>190</v>
      </c>
      <c r="C85" s="70" t="s">
        <v>31</v>
      </c>
      <c r="D85" s="40">
        <v>22946.0</v>
      </c>
      <c r="E85" s="33">
        <v>16001.0</v>
      </c>
      <c r="F85" s="46">
        <v>7850.0</v>
      </c>
      <c r="G85" s="33">
        <v>15725.0</v>
      </c>
      <c r="H85" s="74">
        <v>73061.0</v>
      </c>
      <c r="I85" s="74">
        <v>4001.0</v>
      </c>
      <c r="J85" s="74">
        <v>4459.0</v>
      </c>
      <c r="K85" s="74">
        <v>2951.0</v>
      </c>
      <c r="L85" s="18"/>
      <c r="M85" s="74">
        <v>6278.0</v>
      </c>
      <c r="N85" s="18"/>
      <c r="O85" s="77">
        <f t="shared" si="8"/>
        <v>153272</v>
      </c>
    </row>
    <row r="86">
      <c r="A86" s="22"/>
      <c r="B86" s="71" t="s">
        <v>192</v>
      </c>
      <c r="C86" s="70" t="s">
        <v>32</v>
      </c>
      <c r="D86" s="50">
        <v>24811.0</v>
      </c>
      <c r="E86" s="33">
        <v>12789.0</v>
      </c>
      <c r="F86" s="46">
        <v>7877.0</v>
      </c>
      <c r="G86" s="33">
        <v>16910.0</v>
      </c>
      <c r="H86" s="74">
        <v>76815.0</v>
      </c>
      <c r="I86" s="74">
        <v>4592.0</v>
      </c>
      <c r="J86" s="74">
        <v>5755.0</v>
      </c>
      <c r="K86" s="74">
        <v>2483.0</v>
      </c>
      <c r="L86" s="18"/>
      <c r="M86" s="74">
        <v>5159.0</v>
      </c>
      <c r="N86" s="18"/>
      <c r="O86" s="18">
        <f t="shared" si="8"/>
        <v>157191</v>
      </c>
    </row>
    <row r="87">
      <c r="A87" s="22"/>
      <c r="B87" s="71" t="s">
        <v>194</v>
      </c>
      <c r="C87" s="70" t="s">
        <v>34</v>
      </c>
      <c r="D87" s="50">
        <v>25978.0</v>
      </c>
      <c r="E87" s="33">
        <v>11048.0</v>
      </c>
      <c r="F87" s="50">
        <v>13107.0</v>
      </c>
      <c r="G87" s="33">
        <v>11848.0</v>
      </c>
      <c r="H87" s="74">
        <v>81833.0</v>
      </c>
      <c r="I87" s="74">
        <v>6303.0</v>
      </c>
      <c r="J87" s="74">
        <v>7663.0</v>
      </c>
      <c r="K87" s="74">
        <v>4226.0</v>
      </c>
      <c r="L87" s="18"/>
      <c r="M87" s="74">
        <v>6830.0</v>
      </c>
      <c r="N87" s="18"/>
      <c r="O87" s="18">
        <f t="shared" si="8"/>
        <v>168836</v>
      </c>
    </row>
    <row r="88">
      <c r="A88" s="22"/>
      <c r="B88" s="71" t="s">
        <v>196</v>
      </c>
      <c r="C88" s="70" t="s">
        <v>35</v>
      </c>
      <c r="D88" s="50">
        <v>24138.0</v>
      </c>
      <c r="E88" s="50">
        <v>13280.0</v>
      </c>
      <c r="F88" s="50">
        <v>11400.0</v>
      </c>
      <c r="G88" s="50">
        <v>12644.0</v>
      </c>
      <c r="H88" s="74">
        <v>74228.0</v>
      </c>
      <c r="I88" s="74">
        <v>8750.0</v>
      </c>
      <c r="J88" s="74">
        <v>8285.0</v>
      </c>
      <c r="K88" s="74">
        <v>6556.0</v>
      </c>
      <c r="L88" s="18"/>
      <c r="M88" s="74">
        <v>5496.0</v>
      </c>
      <c r="N88" s="18"/>
      <c r="O88" s="18">
        <f t="shared" si="8"/>
        <v>164777</v>
      </c>
    </row>
    <row r="89">
      <c r="A89" s="22"/>
      <c r="B89" s="71" t="s">
        <v>198</v>
      </c>
      <c r="C89" s="70" t="s">
        <v>36</v>
      </c>
      <c r="D89" s="50">
        <v>23356.0</v>
      </c>
      <c r="E89" s="50">
        <v>11615.0</v>
      </c>
      <c r="F89" s="50">
        <v>8637.0</v>
      </c>
      <c r="G89" s="50">
        <v>12351.0</v>
      </c>
      <c r="H89" s="74">
        <v>66113.0</v>
      </c>
      <c r="I89" s="74"/>
      <c r="J89" s="74">
        <v>5940.0</v>
      </c>
      <c r="K89" s="74">
        <v>7387.0</v>
      </c>
      <c r="L89" s="18"/>
      <c r="M89" s="74">
        <v>5010.0</v>
      </c>
      <c r="N89" s="18"/>
      <c r="O89" s="18">
        <f t="shared" si="8"/>
        <v>140409</v>
      </c>
    </row>
    <row r="90">
      <c r="A90" s="22"/>
      <c r="B90" s="71" t="s">
        <v>199</v>
      </c>
      <c r="C90" s="70" t="s">
        <v>30</v>
      </c>
      <c r="D90" s="50">
        <v>25322.0</v>
      </c>
      <c r="E90" s="50">
        <v>12322.0</v>
      </c>
      <c r="F90" s="50">
        <v>9430.0</v>
      </c>
      <c r="G90" s="50">
        <v>13256.0</v>
      </c>
      <c r="H90" s="74">
        <v>82534.0</v>
      </c>
      <c r="I90" s="74"/>
      <c r="J90" s="74">
        <v>5001.0</v>
      </c>
      <c r="K90" s="74">
        <v>10087.0</v>
      </c>
      <c r="L90" s="18"/>
      <c r="M90" s="74">
        <v>4250.0</v>
      </c>
      <c r="N90" s="18"/>
      <c r="O90" s="18">
        <f t="shared" si="8"/>
        <v>162202</v>
      </c>
    </row>
    <row r="91">
      <c r="A91" s="22"/>
      <c r="B91" s="71" t="s">
        <v>202</v>
      </c>
      <c r="C91" s="70" t="s">
        <v>29</v>
      </c>
      <c r="D91" s="50">
        <v>21963.0</v>
      </c>
      <c r="E91" s="50">
        <v>9896.0</v>
      </c>
      <c r="F91" s="50">
        <v>1563.0</v>
      </c>
      <c r="G91" s="50">
        <v>2251.0</v>
      </c>
      <c r="H91" s="74">
        <v>55960.0</v>
      </c>
      <c r="I91" s="74"/>
      <c r="J91" s="74">
        <v>689.0</v>
      </c>
      <c r="K91" s="74">
        <v>1661.0</v>
      </c>
      <c r="L91" s="18"/>
      <c r="M91" s="74">
        <v>1969.0</v>
      </c>
      <c r="N91" s="18"/>
      <c r="O91" s="18">
        <f t="shared" si="8"/>
        <v>95952</v>
      </c>
    </row>
    <row r="92">
      <c r="A92" s="22"/>
      <c r="B92" s="71" t="s">
        <v>203</v>
      </c>
      <c r="C92" s="70" t="s">
        <v>31</v>
      </c>
      <c r="D92" s="50">
        <v>23968.0</v>
      </c>
      <c r="E92" s="50">
        <v>11998.0</v>
      </c>
      <c r="F92" s="50">
        <v>9483.0</v>
      </c>
      <c r="G92" s="50">
        <v>10834.0</v>
      </c>
      <c r="H92" s="74">
        <v>70457.0</v>
      </c>
      <c r="I92" s="74"/>
      <c r="J92" s="74">
        <v>4088.0</v>
      </c>
      <c r="K92" s="74">
        <v>12805.0</v>
      </c>
      <c r="L92" s="18"/>
      <c r="M92" s="74">
        <v>4183.0</v>
      </c>
      <c r="N92" s="18"/>
      <c r="O92" s="18">
        <f t="shared" si="8"/>
        <v>147816</v>
      </c>
    </row>
    <row r="93">
      <c r="A93" s="22"/>
      <c r="B93" s="71"/>
      <c r="C93" s="70"/>
      <c r="D93" s="50"/>
      <c r="E93" s="50"/>
      <c r="F93" s="50"/>
      <c r="G93" s="50"/>
      <c r="H93" s="74"/>
      <c r="I93" s="74"/>
      <c r="J93" s="74"/>
      <c r="K93" s="18"/>
      <c r="L93" s="18"/>
      <c r="M93" s="74"/>
      <c r="N93" s="18"/>
      <c r="O93" s="18">
        <f t="shared" si="8"/>
        <v>0</v>
      </c>
    </row>
    <row r="94">
      <c r="A94" s="22"/>
      <c r="B94" s="16"/>
      <c r="C94" s="16"/>
      <c r="D94" s="50"/>
      <c r="E94" s="50"/>
      <c r="F94" s="50"/>
      <c r="G94" s="50"/>
      <c r="H94" s="74"/>
      <c r="I94" s="74"/>
      <c r="J94" s="74"/>
      <c r="K94" s="18"/>
      <c r="L94" s="18"/>
      <c r="M94" s="74"/>
      <c r="N94" s="18"/>
      <c r="O94" s="18">
        <f t="shared" si="8"/>
        <v>0</v>
      </c>
    </row>
    <row r="95">
      <c r="A95" s="22"/>
      <c r="B95" s="16"/>
      <c r="C95" s="16"/>
      <c r="D95" s="50"/>
      <c r="E95" s="50"/>
      <c r="F95" s="50"/>
      <c r="G95" s="50"/>
      <c r="H95" s="18"/>
      <c r="I95" s="74"/>
      <c r="J95" s="74"/>
      <c r="K95" s="18"/>
      <c r="L95" s="18"/>
      <c r="M95" s="74"/>
      <c r="N95" s="18"/>
      <c r="O95" s="18">
        <f t="shared" si="8"/>
        <v>0</v>
      </c>
    </row>
    <row r="96">
      <c r="A96" s="22"/>
      <c r="B96" s="16"/>
      <c r="C96" s="16"/>
      <c r="D96" s="50"/>
      <c r="F96" s="50"/>
      <c r="G96" s="50"/>
      <c r="I96" s="74"/>
      <c r="J96" s="74"/>
      <c r="K96" s="18"/>
      <c r="L96" s="18"/>
      <c r="M96" s="74"/>
      <c r="N96" s="18"/>
      <c r="O96" s="18">
        <f t="shared" si="8"/>
        <v>0</v>
      </c>
    </row>
    <row r="97">
      <c r="A97" s="64"/>
      <c r="B97" s="67"/>
      <c r="C97" s="67"/>
      <c r="D97" s="68">
        <f t="shared" ref="D97:O97" si="9">sum(D66:D96)</f>
        <v>600608</v>
      </c>
      <c r="E97" s="68">
        <f t="shared" si="9"/>
        <v>360844</v>
      </c>
      <c r="F97" s="68">
        <f t="shared" si="9"/>
        <v>254054</v>
      </c>
      <c r="G97" s="68">
        <f t="shared" si="9"/>
        <v>362373</v>
      </c>
      <c r="H97" s="68">
        <f t="shared" si="9"/>
        <v>1525912</v>
      </c>
      <c r="I97" s="68">
        <f t="shared" si="9"/>
        <v>150916</v>
      </c>
      <c r="J97" s="68">
        <f t="shared" si="9"/>
        <v>211006</v>
      </c>
      <c r="K97" s="68">
        <f t="shared" si="9"/>
        <v>81165</v>
      </c>
      <c r="L97" s="68">
        <f t="shared" si="9"/>
        <v>0</v>
      </c>
      <c r="M97" s="68">
        <f t="shared" si="9"/>
        <v>150988</v>
      </c>
      <c r="N97" s="68">
        <f t="shared" si="9"/>
        <v>0</v>
      </c>
      <c r="O97" s="68">
        <f t="shared" si="9"/>
        <v>3445791</v>
      </c>
    </row>
  </sheetData>
  <mergeCells count="3">
    <mergeCell ref="A2:A33"/>
    <mergeCell ref="A34:A65"/>
    <mergeCell ref="A66:A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33</v>
      </c>
      <c r="B1" s="28" t="s">
        <v>1</v>
      </c>
      <c r="C1" s="28" t="s">
        <v>2</v>
      </c>
      <c r="D1" s="6" t="s">
        <v>10</v>
      </c>
      <c r="E1" s="6" t="s">
        <v>3</v>
      </c>
      <c r="F1" s="7"/>
      <c r="G1" s="7"/>
      <c r="H1" s="7"/>
      <c r="I1" s="7"/>
      <c r="J1" s="9" t="s">
        <v>15</v>
      </c>
    </row>
    <row r="2">
      <c r="A2" s="11" t="s">
        <v>37</v>
      </c>
      <c r="B2" s="34">
        <v>46029.0</v>
      </c>
      <c r="C2" s="35" t="s">
        <v>35</v>
      </c>
      <c r="D2" s="37"/>
      <c r="E2" s="37"/>
      <c r="F2" s="37"/>
      <c r="G2" s="38"/>
      <c r="H2" s="39"/>
      <c r="I2" s="37"/>
      <c r="J2" s="29">
        <f t="shared" ref="J2:J65" si="1">SUM(D2:I2)</f>
        <v>0</v>
      </c>
    </row>
    <row r="3">
      <c r="A3" s="22"/>
      <c r="B3" s="34">
        <v>46060.0</v>
      </c>
      <c r="C3" s="35" t="s">
        <v>36</v>
      </c>
      <c r="D3" s="37"/>
      <c r="E3" s="37"/>
      <c r="F3" s="37"/>
      <c r="G3" s="38"/>
      <c r="H3" s="39"/>
      <c r="I3" s="37"/>
      <c r="J3" s="29">
        <f t="shared" si="1"/>
        <v>0</v>
      </c>
    </row>
    <row r="4">
      <c r="A4" s="22"/>
      <c r="B4" s="34">
        <v>46088.0</v>
      </c>
      <c r="C4" s="35" t="s">
        <v>30</v>
      </c>
      <c r="D4" s="37"/>
      <c r="E4" s="37"/>
      <c r="F4" s="37"/>
      <c r="G4" s="38"/>
      <c r="H4" s="39"/>
      <c r="I4" s="37"/>
      <c r="J4" s="29">
        <f t="shared" si="1"/>
        <v>0</v>
      </c>
    </row>
    <row r="5">
      <c r="A5" s="22"/>
      <c r="B5" s="34">
        <v>46119.0</v>
      </c>
      <c r="C5" s="35" t="s">
        <v>29</v>
      </c>
      <c r="D5" s="37"/>
      <c r="E5" s="37"/>
      <c r="F5" s="37"/>
      <c r="G5" s="38"/>
      <c r="H5" s="39"/>
      <c r="I5" s="37"/>
      <c r="J5" s="29">
        <f t="shared" si="1"/>
        <v>0</v>
      </c>
    </row>
    <row r="6">
      <c r="A6" s="22"/>
      <c r="B6" s="34">
        <v>46149.0</v>
      </c>
      <c r="C6" s="35" t="s">
        <v>31</v>
      </c>
      <c r="D6" s="37"/>
      <c r="E6" s="37"/>
      <c r="F6" s="37"/>
      <c r="G6" s="38"/>
      <c r="H6" s="39"/>
      <c r="I6" s="37"/>
      <c r="J6" s="29">
        <f t="shared" si="1"/>
        <v>0</v>
      </c>
    </row>
    <row r="7">
      <c r="A7" s="22"/>
      <c r="B7" s="34">
        <v>46180.0</v>
      </c>
      <c r="C7" s="35" t="s">
        <v>32</v>
      </c>
      <c r="D7" s="37"/>
      <c r="E7" s="37"/>
      <c r="F7" s="37"/>
      <c r="G7" s="37"/>
      <c r="H7" s="39"/>
      <c r="I7" s="37"/>
      <c r="J7" s="29">
        <f t="shared" si="1"/>
        <v>0</v>
      </c>
    </row>
    <row r="8">
      <c r="A8" s="22"/>
      <c r="B8" s="34">
        <v>46210.0</v>
      </c>
      <c r="C8" s="35" t="s">
        <v>34</v>
      </c>
      <c r="D8" s="37"/>
      <c r="E8" s="37"/>
      <c r="F8" s="37"/>
      <c r="G8" s="37"/>
      <c r="H8" s="39"/>
      <c r="I8" s="37"/>
      <c r="J8" s="29">
        <f t="shared" si="1"/>
        <v>0</v>
      </c>
    </row>
    <row r="9">
      <c r="A9" s="22"/>
      <c r="B9" s="34">
        <v>46241.0</v>
      </c>
      <c r="C9" s="35" t="s">
        <v>35</v>
      </c>
      <c r="D9" s="37"/>
      <c r="E9" s="37"/>
      <c r="F9" s="37"/>
      <c r="G9" s="37"/>
      <c r="H9" s="39"/>
      <c r="I9" s="37"/>
      <c r="J9" s="29">
        <f t="shared" si="1"/>
        <v>0</v>
      </c>
    </row>
    <row r="10">
      <c r="A10" s="22"/>
      <c r="B10" s="34">
        <v>46272.0</v>
      </c>
      <c r="C10" s="35" t="s">
        <v>36</v>
      </c>
      <c r="D10" s="37"/>
      <c r="E10" s="37"/>
      <c r="F10" s="37"/>
      <c r="G10" s="37"/>
      <c r="H10" s="39"/>
      <c r="I10" s="37"/>
      <c r="J10" s="29">
        <f t="shared" si="1"/>
        <v>0</v>
      </c>
    </row>
    <row r="11">
      <c r="A11" s="22"/>
      <c r="B11" s="34">
        <v>46302.0</v>
      </c>
      <c r="C11" s="35" t="s">
        <v>30</v>
      </c>
      <c r="D11" s="37"/>
      <c r="E11" s="37"/>
      <c r="F11" s="37"/>
      <c r="G11" s="37"/>
      <c r="H11" s="39"/>
      <c r="I11" s="37"/>
      <c r="J11" s="29">
        <f t="shared" si="1"/>
        <v>0</v>
      </c>
    </row>
    <row r="12">
      <c r="A12" s="22"/>
      <c r="B12" s="34">
        <v>46333.0</v>
      </c>
      <c r="C12" s="35" t="s">
        <v>29</v>
      </c>
      <c r="D12" s="41"/>
      <c r="E12" s="37"/>
      <c r="F12" s="37"/>
      <c r="G12" s="37"/>
      <c r="H12" s="41"/>
      <c r="I12" s="37"/>
      <c r="J12" s="29">
        <f t="shared" si="1"/>
        <v>0</v>
      </c>
    </row>
    <row r="13">
      <c r="A13" s="22"/>
      <c r="B13" s="34">
        <v>46363.0</v>
      </c>
      <c r="C13" s="35" t="s">
        <v>31</v>
      </c>
      <c r="D13" s="41"/>
      <c r="E13" s="37"/>
      <c r="F13" s="37"/>
      <c r="G13" s="37"/>
      <c r="H13" s="41"/>
      <c r="I13" s="37"/>
      <c r="J13" s="29">
        <f t="shared" si="1"/>
        <v>0</v>
      </c>
    </row>
    <row r="14">
      <c r="A14" s="22"/>
      <c r="B14" s="35" t="s">
        <v>59</v>
      </c>
      <c r="C14" s="35" t="s">
        <v>32</v>
      </c>
      <c r="D14" s="41"/>
      <c r="E14" s="37"/>
      <c r="F14" s="37"/>
      <c r="G14" s="43"/>
      <c r="H14" s="45"/>
      <c r="I14" s="37"/>
      <c r="J14" s="29">
        <f t="shared" si="1"/>
        <v>0</v>
      </c>
    </row>
    <row r="15">
      <c r="A15" s="22"/>
      <c r="B15" s="35" t="s">
        <v>64</v>
      </c>
      <c r="C15" s="35" t="s">
        <v>34</v>
      </c>
      <c r="D15" s="41"/>
      <c r="E15" s="37"/>
      <c r="F15" s="41"/>
      <c r="G15" s="43"/>
      <c r="H15" s="41"/>
      <c r="I15" s="37"/>
      <c r="J15" s="29">
        <f t="shared" si="1"/>
        <v>0</v>
      </c>
    </row>
    <row r="16">
      <c r="A16" s="22"/>
      <c r="B16" s="35" t="s">
        <v>65</v>
      </c>
      <c r="C16" s="35" t="s">
        <v>35</v>
      </c>
      <c r="D16" s="41"/>
      <c r="E16" s="37"/>
      <c r="F16" s="41"/>
      <c r="G16" s="43"/>
      <c r="H16" s="41"/>
      <c r="I16" s="37"/>
      <c r="J16" s="29">
        <f t="shared" si="1"/>
        <v>0</v>
      </c>
    </row>
    <row r="17">
      <c r="A17" s="22"/>
      <c r="B17" s="35" t="s">
        <v>66</v>
      </c>
      <c r="C17" s="35" t="s">
        <v>36</v>
      </c>
      <c r="D17" s="41"/>
      <c r="E17" s="37"/>
      <c r="F17" s="41"/>
      <c r="G17" s="43"/>
      <c r="H17" s="41"/>
      <c r="I17" s="37"/>
      <c r="J17" s="29">
        <f t="shared" si="1"/>
        <v>0</v>
      </c>
    </row>
    <row r="18">
      <c r="A18" s="22"/>
      <c r="B18" s="35" t="s">
        <v>67</v>
      </c>
      <c r="C18" s="35" t="s">
        <v>30</v>
      </c>
      <c r="D18" s="41"/>
      <c r="E18" s="37"/>
      <c r="F18" s="41"/>
      <c r="G18" s="43"/>
      <c r="H18" s="41"/>
      <c r="I18" s="37"/>
      <c r="J18" s="29">
        <f t="shared" si="1"/>
        <v>0</v>
      </c>
    </row>
    <row r="19">
      <c r="A19" s="22"/>
      <c r="B19" s="35" t="s">
        <v>68</v>
      </c>
      <c r="C19" s="35" t="s">
        <v>29</v>
      </c>
      <c r="D19" s="37"/>
      <c r="E19" s="37"/>
      <c r="F19" s="41"/>
      <c r="G19" s="37"/>
      <c r="H19" s="41"/>
      <c r="I19" s="37"/>
      <c r="J19" s="29">
        <f t="shared" si="1"/>
        <v>0</v>
      </c>
    </row>
    <row r="20">
      <c r="A20" s="22"/>
      <c r="B20" s="35" t="s">
        <v>69</v>
      </c>
      <c r="C20" s="35" t="s">
        <v>31</v>
      </c>
      <c r="D20" s="37"/>
      <c r="E20" s="37"/>
      <c r="F20" s="41"/>
      <c r="G20" s="47"/>
      <c r="H20" s="41"/>
      <c r="I20" s="37"/>
      <c r="J20" s="29">
        <f t="shared" si="1"/>
        <v>0</v>
      </c>
    </row>
    <row r="21">
      <c r="A21" s="22"/>
      <c r="B21" s="35" t="s">
        <v>70</v>
      </c>
      <c r="C21" s="35" t="s">
        <v>32</v>
      </c>
      <c r="D21" s="37"/>
      <c r="E21" s="37"/>
      <c r="F21" s="41"/>
      <c r="G21" s="47"/>
      <c r="H21" s="41"/>
      <c r="I21" s="37"/>
      <c r="J21" s="29">
        <f t="shared" si="1"/>
        <v>0</v>
      </c>
    </row>
    <row r="22">
      <c r="A22" s="22"/>
      <c r="B22" s="35" t="s">
        <v>72</v>
      </c>
      <c r="C22" s="35" t="s">
        <v>34</v>
      </c>
      <c r="D22" s="41">
        <v>1741.0</v>
      </c>
      <c r="E22" s="48">
        <v>0.0</v>
      </c>
      <c r="F22" s="46"/>
      <c r="G22" s="47"/>
      <c r="H22" s="48"/>
      <c r="I22" s="37"/>
      <c r="J22" s="29">
        <f t="shared" si="1"/>
        <v>1741</v>
      </c>
    </row>
    <row r="23">
      <c r="A23" s="22"/>
      <c r="B23" s="35" t="s">
        <v>74</v>
      </c>
      <c r="C23" s="35" t="s">
        <v>35</v>
      </c>
      <c r="D23" s="41">
        <v>378.0</v>
      </c>
      <c r="E23" s="48">
        <v>625.0</v>
      </c>
      <c r="F23" s="46"/>
      <c r="G23" s="47"/>
      <c r="H23" s="48"/>
      <c r="I23" s="51"/>
      <c r="J23" s="29">
        <f t="shared" si="1"/>
        <v>1003</v>
      </c>
    </row>
    <row r="24">
      <c r="A24" s="22"/>
      <c r="B24" s="35" t="s">
        <v>76</v>
      </c>
      <c r="C24" s="35" t="s">
        <v>36</v>
      </c>
      <c r="D24" s="41">
        <v>189.0</v>
      </c>
      <c r="E24" s="48">
        <v>1388.0</v>
      </c>
      <c r="F24" s="46"/>
      <c r="G24" s="47"/>
      <c r="H24" s="51"/>
      <c r="I24" s="51"/>
      <c r="J24" s="55">
        <f t="shared" si="1"/>
        <v>1577</v>
      </c>
    </row>
    <row r="25">
      <c r="A25" s="22"/>
      <c r="B25" s="35" t="s">
        <v>78</v>
      </c>
      <c r="C25" s="35" t="s">
        <v>30</v>
      </c>
      <c r="D25" s="41">
        <v>3511.0</v>
      </c>
      <c r="E25" s="48">
        <v>5151.0</v>
      </c>
      <c r="F25" s="46"/>
      <c r="G25" s="47"/>
      <c r="H25" s="51"/>
      <c r="I25" s="51"/>
      <c r="J25" s="29">
        <f t="shared" si="1"/>
        <v>8662</v>
      </c>
    </row>
    <row r="26">
      <c r="A26" s="22"/>
      <c r="B26" s="35" t="s">
        <v>80</v>
      </c>
      <c r="C26" s="35" t="s">
        <v>29</v>
      </c>
      <c r="D26" s="41">
        <v>3930.0</v>
      </c>
      <c r="E26" s="51">
        <v>6839.0</v>
      </c>
      <c r="F26" s="51"/>
      <c r="G26" s="51"/>
      <c r="H26" s="51"/>
      <c r="I26" s="51"/>
      <c r="J26" s="29">
        <f t="shared" si="1"/>
        <v>10769</v>
      </c>
    </row>
    <row r="27">
      <c r="A27" s="22"/>
      <c r="B27" s="35" t="s">
        <v>81</v>
      </c>
      <c r="C27" s="35" t="s">
        <v>31</v>
      </c>
      <c r="D27" s="41">
        <v>1253.0</v>
      </c>
      <c r="E27" s="51">
        <v>2472.0</v>
      </c>
      <c r="F27" s="51"/>
      <c r="G27" s="51"/>
      <c r="H27" s="51"/>
      <c r="I27" s="51"/>
      <c r="J27" s="29">
        <f t="shared" si="1"/>
        <v>3725</v>
      </c>
    </row>
    <row r="28">
      <c r="A28" s="22"/>
      <c r="B28" s="35" t="s">
        <v>83</v>
      </c>
      <c r="C28" s="35" t="s">
        <v>32</v>
      </c>
      <c r="D28" s="41">
        <v>1234.0</v>
      </c>
      <c r="E28" s="51">
        <v>1828.0</v>
      </c>
      <c r="F28" s="51"/>
      <c r="G28" s="51"/>
      <c r="H28" s="51"/>
      <c r="I28" s="51"/>
      <c r="J28" s="29">
        <f t="shared" si="1"/>
        <v>3062</v>
      </c>
    </row>
    <row r="29">
      <c r="A29" s="22"/>
      <c r="B29" s="35" t="s">
        <v>85</v>
      </c>
      <c r="C29" s="35" t="s">
        <v>34</v>
      </c>
      <c r="D29" s="51">
        <v>0.0</v>
      </c>
      <c r="E29" s="51">
        <v>814.0</v>
      </c>
      <c r="F29" s="51"/>
      <c r="G29" s="51"/>
      <c r="H29" s="51"/>
      <c r="I29" s="51"/>
      <c r="J29" s="29">
        <f t="shared" si="1"/>
        <v>814</v>
      </c>
    </row>
    <row r="30">
      <c r="A30" s="22"/>
      <c r="B30" s="35" t="s">
        <v>87</v>
      </c>
      <c r="C30" s="35" t="s">
        <v>35</v>
      </c>
      <c r="D30" s="41">
        <v>3055.0</v>
      </c>
      <c r="E30" s="51">
        <v>1712.0</v>
      </c>
      <c r="F30" s="51"/>
      <c r="G30" s="51"/>
      <c r="H30" s="51"/>
      <c r="I30" s="51"/>
      <c r="J30" s="29">
        <f t="shared" si="1"/>
        <v>4767</v>
      </c>
      <c r="L30" s="62" t="s">
        <v>88</v>
      </c>
    </row>
    <row r="31">
      <c r="A31" s="22"/>
      <c r="B31" s="35" t="s">
        <v>90</v>
      </c>
      <c r="C31" s="35" t="s">
        <v>36</v>
      </c>
      <c r="D31" s="51">
        <v>408.0</v>
      </c>
      <c r="E31" s="51">
        <v>636.0</v>
      </c>
      <c r="F31" s="51"/>
      <c r="G31" s="51"/>
      <c r="H31" s="51"/>
      <c r="I31" s="51"/>
      <c r="J31" s="29">
        <f t="shared" si="1"/>
        <v>1044</v>
      </c>
    </row>
    <row r="32">
      <c r="A32" s="22"/>
      <c r="B32" s="35" t="s">
        <v>92</v>
      </c>
      <c r="C32" s="35" t="s">
        <v>30</v>
      </c>
      <c r="D32" s="46">
        <v>1621.0</v>
      </c>
      <c r="E32" s="46"/>
      <c r="F32" s="51"/>
      <c r="G32" s="51"/>
      <c r="H32" s="51"/>
      <c r="I32" s="51"/>
      <c r="J32" s="29">
        <f t="shared" si="1"/>
        <v>1621</v>
      </c>
    </row>
    <row r="33">
      <c r="A33" s="64"/>
      <c r="B33" s="65"/>
      <c r="C33" s="65"/>
      <c r="D33" s="66">
        <f t="shared" ref="D33:I33" si="2">SUM(D2:D32)</f>
        <v>17320</v>
      </c>
      <c r="E33" s="66">
        <f t="shared" si="2"/>
        <v>21465</v>
      </c>
      <c r="F33" s="66">
        <f t="shared" si="2"/>
        <v>0</v>
      </c>
      <c r="G33" s="66">
        <f t="shared" si="2"/>
        <v>0</v>
      </c>
      <c r="H33" s="66">
        <f t="shared" si="2"/>
        <v>0</v>
      </c>
      <c r="I33" s="66">
        <f t="shared" si="2"/>
        <v>0</v>
      </c>
      <c r="J33" s="29">
        <f t="shared" si="1"/>
        <v>38785</v>
      </c>
    </row>
    <row r="34">
      <c r="A34" s="11" t="s">
        <v>99</v>
      </c>
      <c r="B34" s="69">
        <v>46030.0</v>
      </c>
      <c r="C34" s="70" t="s">
        <v>29</v>
      </c>
      <c r="D34" s="46">
        <v>2646.0</v>
      </c>
      <c r="E34" s="46">
        <v>4657.0</v>
      </c>
      <c r="F34" s="37"/>
      <c r="G34" s="38"/>
      <c r="H34" s="39"/>
      <c r="I34" s="37"/>
      <c r="J34" s="29">
        <f t="shared" si="1"/>
        <v>7303</v>
      </c>
    </row>
    <row r="35">
      <c r="A35" s="22"/>
      <c r="B35" s="69">
        <v>46061.0</v>
      </c>
      <c r="C35" s="70" t="s">
        <v>31</v>
      </c>
      <c r="D35" s="46">
        <v>1651.0</v>
      </c>
      <c r="E35" s="46">
        <v>4593.0</v>
      </c>
      <c r="F35" s="37"/>
      <c r="G35" s="38"/>
      <c r="H35" s="39"/>
      <c r="I35" s="37"/>
      <c r="J35" s="29">
        <f t="shared" si="1"/>
        <v>6244</v>
      </c>
    </row>
    <row r="36">
      <c r="A36" s="22"/>
      <c r="B36" s="69">
        <v>46089.0</v>
      </c>
      <c r="C36" s="70" t="s">
        <v>32</v>
      </c>
      <c r="D36" s="46">
        <v>438.0</v>
      </c>
      <c r="E36" s="37">
        <v>149.0</v>
      </c>
      <c r="F36" s="37"/>
      <c r="G36" s="38"/>
      <c r="H36" s="39"/>
      <c r="I36" s="37"/>
      <c r="J36" s="29">
        <f t="shared" si="1"/>
        <v>587</v>
      </c>
    </row>
    <row r="37">
      <c r="A37" s="22"/>
      <c r="B37" s="69">
        <v>46120.0</v>
      </c>
      <c r="C37" s="70" t="s">
        <v>34</v>
      </c>
      <c r="D37" s="46">
        <v>1372.0</v>
      </c>
      <c r="E37" s="37">
        <v>1399.0</v>
      </c>
      <c r="F37" s="37"/>
      <c r="G37" s="38"/>
      <c r="H37" s="39"/>
      <c r="I37" s="37"/>
      <c r="J37" s="29">
        <f t="shared" si="1"/>
        <v>2771</v>
      </c>
    </row>
    <row r="38">
      <c r="A38" s="22"/>
      <c r="B38" s="69">
        <v>46150.0</v>
      </c>
      <c r="C38" s="70" t="s">
        <v>35</v>
      </c>
      <c r="D38" s="46">
        <v>825.0</v>
      </c>
      <c r="E38" s="37">
        <v>892.0</v>
      </c>
      <c r="F38" s="37"/>
      <c r="G38" s="38"/>
      <c r="H38" s="39"/>
      <c r="I38" s="37"/>
      <c r="J38" s="29">
        <f t="shared" si="1"/>
        <v>1717</v>
      </c>
    </row>
    <row r="39">
      <c r="A39" s="22"/>
      <c r="B39" s="69">
        <v>46181.0</v>
      </c>
      <c r="C39" s="70" t="s">
        <v>36</v>
      </c>
      <c r="D39" s="46">
        <v>995.0</v>
      </c>
      <c r="E39" s="37">
        <v>0.0</v>
      </c>
      <c r="F39" s="37"/>
      <c r="G39" s="37"/>
      <c r="H39" s="39"/>
      <c r="I39" s="37"/>
      <c r="J39" s="29">
        <f t="shared" si="1"/>
        <v>995</v>
      </c>
    </row>
    <row r="40">
      <c r="A40" s="22"/>
      <c r="B40" s="69">
        <v>46211.0</v>
      </c>
      <c r="C40" s="70" t="s">
        <v>30</v>
      </c>
      <c r="D40" s="46">
        <v>169.0</v>
      </c>
      <c r="E40" s="37">
        <v>0.0</v>
      </c>
      <c r="F40" s="37"/>
      <c r="G40" s="37"/>
      <c r="H40" s="39"/>
      <c r="I40" s="37"/>
      <c r="J40" s="29">
        <f t="shared" si="1"/>
        <v>169</v>
      </c>
    </row>
    <row r="41">
      <c r="A41" s="22"/>
      <c r="B41" s="69">
        <v>46242.0</v>
      </c>
      <c r="C41" s="70" t="s">
        <v>29</v>
      </c>
      <c r="D41" s="46">
        <v>657.0</v>
      </c>
      <c r="E41" s="37">
        <v>1823.0</v>
      </c>
      <c r="F41" s="37"/>
      <c r="G41" s="37"/>
      <c r="H41" s="39"/>
      <c r="I41" s="37"/>
      <c r="J41" s="29">
        <f t="shared" si="1"/>
        <v>2480</v>
      </c>
    </row>
    <row r="42">
      <c r="A42" s="22"/>
      <c r="B42" s="69">
        <v>46273.0</v>
      </c>
      <c r="C42" s="70" t="s">
        <v>31</v>
      </c>
      <c r="D42" s="46">
        <v>1712.0</v>
      </c>
      <c r="E42" s="37">
        <v>2309.0</v>
      </c>
      <c r="F42" s="37"/>
      <c r="G42" s="37"/>
      <c r="H42" s="39"/>
      <c r="I42" s="37"/>
      <c r="J42" s="29">
        <f t="shared" si="1"/>
        <v>4021</v>
      </c>
    </row>
    <row r="43">
      <c r="A43" s="22"/>
      <c r="B43" s="69">
        <v>46303.0</v>
      </c>
      <c r="C43" s="70" t="s">
        <v>32</v>
      </c>
      <c r="D43" s="46">
        <v>189.0</v>
      </c>
      <c r="E43" s="37">
        <v>861.0</v>
      </c>
      <c r="F43" s="37"/>
      <c r="G43" s="37"/>
      <c r="H43" s="39"/>
      <c r="I43" s="37"/>
      <c r="J43" s="29">
        <f t="shared" si="1"/>
        <v>1050</v>
      </c>
    </row>
    <row r="44">
      <c r="A44" s="22"/>
      <c r="B44" s="69">
        <v>46335.0</v>
      </c>
      <c r="C44" s="70" t="s">
        <v>34</v>
      </c>
      <c r="D44" s="46">
        <v>746.0</v>
      </c>
      <c r="E44" s="37">
        <v>0.0</v>
      </c>
      <c r="F44" s="37"/>
      <c r="G44" s="37"/>
      <c r="H44" s="41"/>
      <c r="I44" s="37"/>
      <c r="J44" s="29">
        <f t="shared" si="1"/>
        <v>746</v>
      </c>
    </row>
    <row r="45">
      <c r="A45" s="22"/>
      <c r="B45" s="69">
        <v>46366.0</v>
      </c>
      <c r="C45" s="70" t="s">
        <v>35</v>
      </c>
      <c r="D45" s="46">
        <v>149.0</v>
      </c>
      <c r="E45" s="37">
        <v>1944.0</v>
      </c>
      <c r="F45" s="37"/>
      <c r="G45" s="37"/>
      <c r="H45" s="41"/>
      <c r="I45" s="37"/>
      <c r="J45" s="29">
        <f t="shared" si="1"/>
        <v>2093</v>
      </c>
    </row>
    <row r="46">
      <c r="A46" s="22"/>
      <c r="B46" s="71" t="s">
        <v>115</v>
      </c>
      <c r="C46" s="70" t="s">
        <v>36</v>
      </c>
      <c r="D46" s="46">
        <v>815.0</v>
      </c>
      <c r="E46" s="46"/>
      <c r="F46" s="37"/>
      <c r="G46" s="43"/>
      <c r="H46" s="45"/>
      <c r="I46" s="37"/>
      <c r="J46" s="29">
        <f t="shared" si="1"/>
        <v>815</v>
      </c>
    </row>
    <row r="47">
      <c r="A47" s="22"/>
      <c r="B47" s="71" t="s">
        <v>116</v>
      </c>
      <c r="C47" s="70" t="s">
        <v>30</v>
      </c>
      <c r="D47" s="46">
        <v>716.0</v>
      </c>
      <c r="E47" s="46"/>
      <c r="F47" s="41"/>
      <c r="G47" s="43"/>
      <c r="H47" s="41"/>
      <c r="I47" s="37"/>
      <c r="J47" s="29">
        <f t="shared" si="1"/>
        <v>716</v>
      </c>
    </row>
    <row r="48">
      <c r="A48" s="22"/>
      <c r="B48" s="71" t="s">
        <v>118</v>
      </c>
      <c r="C48" s="70" t="s">
        <v>29</v>
      </c>
      <c r="D48" s="46">
        <v>358.0</v>
      </c>
      <c r="E48" s="46"/>
      <c r="F48" s="41"/>
      <c r="G48" s="43"/>
      <c r="H48" s="41"/>
      <c r="I48" s="37"/>
      <c r="J48" s="29">
        <f t="shared" si="1"/>
        <v>358</v>
      </c>
    </row>
    <row r="49">
      <c r="A49" s="22"/>
      <c r="B49" s="71" t="s">
        <v>120</v>
      </c>
      <c r="C49" s="70" t="s">
        <v>31</v>
      </c>
      <c r="D49" s="46">
        <v>249.0</v>
      </c>
      <c r="E49" s="37"/>
      <c r="F49" s="41"/>
      <c r="G49" s="43"/>
      <c r="H49" s="41"/>
      <c r="I49" s="37"/>
      <c r="J49" s="29">
        <f t="shared" si="1"/>
        <v>249</v>
      </c>
    </row>
    <row r="50">
      <c r="A50" s="22"/>
      <c r="B50" s="71" t="s">
        <v>122</v>
      </c>
      <c r="C50" s="70" t="s">
        <v>32</v>
      </c>
      <c r="D50" s="41"/>
      <c r="E50" s="37"/>
      <c r="F50" s="41"/>
      <c r="G50" s="43"/>
      <c r="H50" s="41"/>
      <c r="I50" s="37"/>
      <c r="J50" s="29">
        <f t="shared" si="1"/>
        <v>0</v>
      </c>
    </row>
    <row r="51">
      <c r="A51" s="22"/>
      <c r="B51" s="71" t="s">
        <v>123</v>
      </c>
      <c r="C51" s="70" t="s">
        <v>34</v>
      </c>
      <c r="D51" s="37"/>
      <c r="E51" s="37"/>
      <c r="F51" s="41"/>
      <c r="G51" s="37"/>
      <c r="H51" s="41"/>
      <c r="I51" s="37"/>
      <c r="J51" s="29">
        <f t="shared" si="1"/>
        <v>0</v>
      </c>
    </row>
    <row r="52">
      <c r="A52" s="22"/>
      <c r="B52" s="71" t="s">
        <v>124</v>
      </c>
      <c r="C52" s="70" t="s">
        <v>35</v>
      </c>
      <c r="D52" s="37"/>
      <c r="E52" s="37"/>
      <c r="F52" s="41"/>
      <c r="G52" s="47"/>
      <c r="H52" s="41"/>
      <c r="I52" s="37"/>
      <c r="J52" s="29">
        <f t="shared" si="1"/>
        <v>0</v>
      </c>
    </row>
    <row r="53">
      <c r="A53" s="22"/>
      <c r="B53" s="71" t="s">
        <v>125</v>
      </c>
      <c r="C53" s="70" t="s">
        <v>36</v>
      </c>
      <c r="D53" s="37"/>
      <c r="E53" s="37"/>
      <c r="F53" s="41"/>
      <c r="G53" s="47"/>
      <c r="H53" s="41"/>
      <c r="I53" s="37"/>
      <c r="J53" s="29">
        <f t="shared" si="1"/>
        <v>0</v>
      </c>
    </row>
    <row r="54">
      <c r="A54" s="22"/>
      <c r="B54" s="71" t="s">
        <v>127</v>
      </c>
      <c r="C54" s="70" t="s">
        <v>30</v>
      </c>
      <c r="D54" s="41"/>
      <c r="E54" s="48"/>
      <c r="F54" s="46"/>
      <c r="G54" s="47"/>
      <c r="H54" s="48"/>
      <c r="I54" s="37"/>
      <c r="J54" s="29">
        <f t="shared" si="1"/>
        <v>0</v>
      </c>
    </row>
    <row r="55">
      <c r="A55" s="22"/>
      <c r="B55" s="16"/>
      <c r="C55" s="16"/>
      <c r="D55" s="41"/>
      <c r="E55" s="48"/>
      <c r="F55" s="46"/>
      <c r="G55" s="47"/>
      <c r="H55" s="48"/>
      <c r="I55" s="51"/>
      <c r="J55" s="29">
        <f t="shared" si="1"/>
        <v>0</v>
      </c>
    </row>
    <row r="56">
      <c r="A56" s="22"/>
      <c r="B56" s="35"/>
      <c r="C56" s="35"/>
      <c r="D56" s="41"/>
      <c r="E56" s="48"/>
      <c r="F56" s="46"/>
      <c r="G56" s="47"/>
      <c r="H56" s="51"/>
      <c r="I56" s="51"/>
      <c r="J56" s="55">
        <f t="shared" si="1"/>
        <v>0</v>
      </c>
    </row>
    <row r="57">
      <c r="A57" s="22"/>
      <c r="B57" s="35"/>
      <c r="C57" s="35"/>
      <c r="D57" s="41"/>
      <c r="E57" s="48"/>
      <c r="F57" s="46"/>
      <c r="G57" s="47"/>
      <c r="H57" s="51"/>
      <c r="I57" s="51"/>
      <c r="J57" s="29">
        <f t="shared" si="1"/>
        <v>0</v>
      </c>
    </row>
    <row r="58">
      <c r="A58" s="22"/>
      <c r="B58" s="35"/>
      <c r="C58" s="35"/>
      <c r="D58" s="41"/>
      <c r="E58" s="51"/>
      <c r="F58" s="51"/>
      <c r="G58" s="51"/>
      <c r="H58" s="51"/>
      <c r="I58" s="51"/>
      <c r="J58" s="29">
        <f t="shared" si="1"/>
        <v>0</v>
      </c>
    </row>
    <row r="59">
      <c r="A59" s="22"/>
      <c r="B59" s="35"/>
      <c r="C59" s="35"/>
      <c r="D59" s="41"/>
      <c r="E59" s="51"/>
      <c r="F59" s="51"/>
      <c r="G59" s="51"/>
      <c r="H59" s="51"/>
      <c r="I59" s="51"/>
      <c r="J59" s="29">
        <f t="shared" si="1"/>
        <v>0</v>
      </c>
    </row>
    <row r="60">
      <c r="A60" s="22"/>
      <c r="B60" s="35"/>
      <c r="C60" s="35"/>
      <c r="D60" s="41"/>
      <c r="E60" s="51"/>
      <c r="F60" s="51"/>
      <c r="G60" s="51"/>
      <c r="H60" s="51"/>
      <c r="I60" s="51"/>
      <c r="J60" s="29">
        <f t="shared" si="1"/>
        <v>0</v>
      </c>
    </row>
    <row r="61">
      <c r="A61" s="22"/>
      <c r="B61" s="35"/>
      <c r="C61" s="35"/>
      <c r="D61" s="51"/>
      <c r="E61" s="51"/>
      <c r="F61" s="51"/>
      <c r="G61" s="51"/>
      <c r="H61" s="51"/>
      <c r="I61" s="51"/>
      <c r="J61" s="29">
        <f t="shared" si="1"/>
        <v>0</v>
      </c>
    </row>
    <row r="62">
      <c r="A62" s="22"/>
      <c r="B62" s="35"/>
      <c r="C62" s="35"/>
      <c r="D62" s="41"/>
      <c r="E62" s="51"/>
      <c r="F62" s="51"/>
      <c r="G62" s="51"/>
      <c r="H62" s="51"/>
      <c r="I62" s="51"/>
      <c r="J62" s="29">
        <f t="shared" si="1"/>
        <v>0</v>
      </c>
    </row>
    <row r="63">
      <c r="A63" s="22"/>
      <c r="B63" s="35"/>
      <c r="C63" s="35"/>
      <c r="D63" s="51"/>
      <c r="E63" s="51"/>
      <c r="F63" s="51"/>
      <c r="G63" s="51"/>
      <c r="H63" s="51"/>
      <c r="I63" s="51"/>
      <c r="J63" s="29">
        <f t="shared" si="1"/>
        <v>0</v>
      </c>
    </row>
    <row r="64">
      <c r="A64" s="22"/>
      <c r="B64" s="35"/>
      <c r="C64" s="35"/>
      <c r="D64" s="46"/>
      <c r="E64" s="46"/>
      <c r="F64" s="51"/>
      <c r="G64" s="51"/>
      <c r="H64" s="51"/>
      <c r="I64" s="51"/>
      <c r="J64" s="29">
        <f t="shared" si="1"/>
        <v>0</v>
      </c>
    </row>
    <row r="65">
      <c r="A65" s="64"/>
      <c r="B65" s="65"/>
      <c r="C65" s="65"/>
      <c r="D65" s="66">
        <f t="shared" ref="D65:I65" si="3">SUM(D34:D64)</f>
        <v>13687</v>
      </c>
      <c r="E65" s="66">
        <f t="shared" si="3"/>
        <v>18627</v>
      </c>
      <c r="F65" s="66">
        <f t="shared" si="3"/>
        <v>0</v>
      </c>
      <c r="G65" s="66">
        <f t="shared" si="3"/>
        <v>0</v>
      </c>
      <c r="H65" s="66">
        <f t="shared" si="3"/>
        <v>0</v>
      </c>
      <c r="I65" s="66">
        <f t="shared" si="3"/>
        <v>0</v>
      </c>
      <c r="J65" s="29">
        <f t="shared" si="1"/>
        <v>32314</v>
      </c>
    </row>
  </sheetData>
  <mergeCells count="2">
    <mergeCell ref="A2:A33"/>
    <mergeCell ref="A34:A65"/>
  </mergeCells>
  <drawing r:id="rId1"/>
</worksheet>
</file>